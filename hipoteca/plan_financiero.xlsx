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Andres\Inmuebles\VENTA-EDUARDO\"/>
    </mc:Choice>
  </mc:AlternateContent>
  <xr:revisionPtr revIDLastSave="0" documentId="13_ncr:1_{BDACA029-847E-42C3-8276-7AE12EA4F79F}" xr6:coauthVersionLast="47" xr6:coauthVersionMax="47" xr10:uidLastSave="{00000000-0000-0000-0000-000000000000}"/>
  <bookViews>
    <workbookView xWindow="20520" yWindow="0" windowWidth="2295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B11" i="1"/>
  <c r="F11" i="1" s="1"/>
  <c r="B10" i="1"/>
  <c r="B9" i="1"/>
  <c r="F9" i="1" s="1"/>
  <c r="F15" i="1"/>
  <c r="F32" i="1" s="1"/>
  <c r="D16" i="1"/>
  <c r="D13" i="1"/>
  <c r="F6" i="1"/>
  <c r="F5" i="1"/>
  <c r="B16" i="1" l="1"/>
  <c r="B17" i="1" s="1"/>
  <c r="F10" i="1"/>
  <c r="F26" i="1"/>
  <c r="F13" i="1"/>
  <c r="B13" i="1"/>
  <c r="D17" i="1"/>
  <c r="F16" i="1"/>
  <c r="F17" i="1" l="1"/>
  <c r="F27" i="1"/>
  <c r="F21" i="1"/>
  <c r="F23" i="1" s="1"/>
  <c r="F28" i="1" s="1"/>
  <c r="F29" i="1" s="1"/>
  <c r="F35" i="1" s="1"/>
  <c r="F34" i="1" s="1"/>
</calcChain>
</file>

<file path=xl/sharedStrings.xml><?xml version="1.0" encoding="utf-8"?>
<sst xmlns="http://schemas.openxmlformats.org/spreadsheetml/2006/main" count="30" uniqueCount="27">
  <si>
    <t>EDUARDO OLIVARES LOPEZ</t>
  </si>
  <si>
    <t>Valoración TINSA piso+garaje</t>
  </si>
  <si>
    <t>Impuesto ITP</t>
  </si>
  <si>
    <t>Detalle de la adquisición</t>
  </si>
  <si>
    <t>Donación Papá</t>
  </si>
  <si>
    <t>Compara al tío Jose Mari</t>
  </si>
  <si>
    <t>Compara a la tía Trini</t>
  </si>
  <si>
    <t>Compara al tío Juan Carlos</t>
  </si>
  <si>
    <t>Financiación</t>
  </si>
  <si>
    <t>Parte recibida en Donación</t>
  </si>
  <si>
    <t>Parte comprada</t>
  </si>
  <si>
    <t>Impuesto Donaciones</t>
  </si>
  <si>
    <t>Coste Total</t>
  </si>
  <si>
    <t>Gastos de la adquisición</t>
  </si>
  <si>
    <t>Efectivo Eduardo</t>
  </si>
  <si>
    <t>PRÉSTAMO CAIXABANK</t>
  </si>
  <si>
    <t>Piso</t>
  </si>
  <si>
    <t>Garaje</t>
  </si>
  <si>
    <t>Piso+garaje</t>
  </si>
  <si>
    <t>Valoraciones</t>
  </si>
  <si>
    <t>Parte adquirida mediante donación</t>
  </si>
  <si>
    <t>Parte adquirida mediante compraventa</t>
  </si>
  <si>
    <t>Donación de papá</t>
  </si>
  <si>
    <t xml:space="preserve">PLAN ADQUSICIÓN PISO Y GARAJE VALDEVERDEJA 21 2º B </t>
  </si>
  <si>
    <t xml:space="preserve">Impuestos y gastos de la adquisicIón </t>
  </si>
  <si>
    <t xml:space="preserve">Gastos de Notaria, Registro, etc. </t>
  </si>
  <si>
    <t>Valoración adoptada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</si>
</sst>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9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/>
    <xf numFmtId="0" fontId="2" fillId="3" borderId="0" xfId="0" applyFont="1" applyFill="1"/>
    <xf numFmtId="0" fontId="1" fillId="3" borderId="1" xfId="0" applyFont="1" applyFill="1" applyBorder="1"/>
    <xf numFmtId="0" fontId="2" fillId="2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 applyAlignment="1">
      <alignment horizontal="right"/>
    </xf>
    <xf numFmtId="0" fontId="2" fillId="3" borderId="1" xfId="0" applyFont="1" applyFill="1" applyBorder="1"/>
    <xf numFmtId="4" fontId="2" fillId="3" borderId="1" xfId="0" applyNumberFormat="1" applyFont="1" applyFill="1" applyBorder="1" applyAlignment="1">
      <alignment horizontal="right"/>
    </xf>
    <xf numFmtId="9" fontId="1" fillId="3" borderId="0" xfId="0" applyNumberFormat="1" applyFont="1" applyFill="1"/>
    <xf numFmtId="4" fontId="2" fillId="2" borderId="0" xfId="0" applyNumberFormat="1" applyFont="1" applyFill="1" applyAlignment="1">
      <alignment horizontal="center"/>
    </xf>
    <xf numFmtId="10" fontId="3" fillId="3" borderId="0" xfId="0" applyNumberFormat="1" applyFont="1" applyFill="1"/>
    <xf numFmtId="9" fontId="3" fillId="3" borderId="0" xfId="0" applyNumberFormat="1" applyFont="1" applyFill="1"/>
    <xf numFmtId="0" fontId="1" fillId="3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29.42578125" style="1" bestFit="1" customWidth="1"/>
    <col min="2" max="2" width="12.7109375" style="1" customWidth="1"/>
    <col min="3" max="3" width="6.28515625" style="1" bestFit="1" customWidth="1"/>
    <col min="4" max="4" width="11.140625" style="1" customWidth="1"/>
    <col min="5" max="5" width="4.140625" style="1" bestFit="1" customWidth="1"/>
    <col min="6" max="6" width="13.42578125" style="1" customWidth="1"/>
    <col min="7" max="16384" width="9.140625" style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4" t="s">
        <v>23</v>
      </c>
      <c r="B2" s="4"/>
      <c r="C2" s="4"/>
      <c r="D2" s="4"/>
      <c r="E2" s="4"/>
      <c r="F2" s="4"/>
    </row>
    <row r="3" spans="1:6" x14ac:dyDescent="0.25">
      <c r="B3" s="5"/>
      <c r="D3" s="5"/>
      <c r="E3" s="5"/>
      <c r="F3" s="5"/>
    </row>
    <row r="4" spans="1:6" s="2" customFormat="1" x14ac:dyDescent="0.25">
      <c r="A4" s="7" t="s">
        <v>19</v>
      </c>
      <c r="B4" s="13" t="s">
        <v>16</v>
      </c>
      <c r="C4" s="7"/>
      <c r="D4" s="13" t="s">
        <v>17</v>
      </c>
      <c r="E4" s="13"/>
      <c r="F4" s="13" t="s">
        <v>18</v>
      </c>
    </row>
    <row r="5" spans="1:6" x14ac:dyDescent="0.25">
      <c r="A5" s="1" t="s">
        <v>1</v>
      </c>
      <c r="B5" s="6">
        <v>458577.02</v>
      </c>
      <c r="D5" s="6">
        <v>20495.97</v>
      </c>
      <c r="E5" s="6"/>
      <c r="F5" s="6">
        <f>SUM(B5:D5)</f>
        <v>479072.99</v>
      </c>
    </row>
    <row r="6" spans="1:6" x14ac:dyDescent="0.25">
      <c r="A6" s="1" t="s">
        <v>26</v>
      </c>
      <c r="B6" s="6">
        <v>420000</v>
      </c>
      <c r="D6" s="6">
        <v>20000</v>
      </c>
      <c r="E6" s="6"/>
      <c r="F6" s="6">
        <f>SUM(B6:D6)</f>
        <v>440000</v>
      </c>
    </row>
    <row r="7" spans="1:6" x14ac:dyDescent="0.25">
      <c r="B7" s="6"/>
      <c r="D7" s="6"/>
      <c r="E7" s="6"/>
      <c r="F7" s="6"/>
    </row>
    <row r="8" spans="1:6" x14ac:dyDescent="0.25">
      <c r="A8" s="7" t="s">
        <v>3</v>
      </c>
      <c r="B8" s="13" t="s">
        <v>16</v>
      </c>
      <c r="C8" s="8"/>
      <c r="D8" s="13" t="s">
        <v>17</v>
      </c>
      <c r="E8" s="13"/>
      <c r="F8" s="13" t="s">
        <v>18</v>
      </c>
    </row>
    <row r="9" spans="1:6" x14ac:dyDescent="0.25">
      <c r="A9" s="1" t="s">
        <v>4</v>
      </c>
      <c r="B9" s="6">
        <f>ROUND(B$6*C9,-3)</f>
        <v>123000</v>
      </c>
      <c r="C9" s="14">
        <v>0.29189999999999999</v>
      </c>
      <c r="D9" s="6">
        <v>5000</v>
      </c>
      <c r="E9" s="15">
        <v>0.25</v>
      </c>
      <c r="F9" s="6">
        <f>B9+D9</f>
        <v>128000</v>
      </c>
    </row>
    <row r="10" spans="1:6" x14ac:dyDescent="0.25">
      <c r="A10" s="1" t="s">
        <v>5</v>
      </c>
      <c r="B10" s="6">
        <f>ROUND(B$6*C10,-3)</f>
        <v>123000</v>
      </c>
      <c r="C10" s="14">
        <v>0.29189999999999999</v>
      </c>
      <c r="D10" s="6">
        <v>5000</v>
      </c>
      <c r="E10" s="15">
        <v>0.25</v>
      </c>
      <c r="F10" s="6">
        <f t="shared" ref="F10:F12" si="0">B10+D10</f>
        <v>128000</v>
      </c>
    </row>
    <row r="11" spans="1:6" x14ac:dyDescent="0.25">
      <c r="A11" s="1" t="s">
        <v>6</v>
      </c>
      <c r="B11" s="6">
        <f>ROUND(B$6*C11,-3)</f>
        <v>123000</v>
      </c>
      <c r="C11" s="14">
        <v>0.29189999999999999</v>
      </c>
      <c r="D11" s="6">
        <v>5000</v>
      </c>
      <c r="E11" s="15">
        <v>0.25</v>
      </c>
      <c r="F11" s="6">
        <f t="shared" si="0"/>
        <v>128000</v>
      </c>
    </row>
    <row r="12" spans="1:6" x14ac:dyDescent="0.25">
      <c r="A12" s="1" t="s">
        <v>7</v>
      </c>
      <c r="B12" s="6">
        <v>53000</v>
      </c>
      <c r="C12" s="14">
        <v>0.1244</v>
      </c>
      <c r="D12" s="6">
        <v>5000</v>
      </c>
      <c r="E12" s="15">
        <v>0.25</v>
      </c>
      <c r="F12" s="6">
        <f t="shared" si="0"/>
        <v>58000</v>
      </c>
    </row>
    <row r="13" spans="1:6" s="2" customFormat="1" x14ac:dyDescent="0.25">
      <c r="A13" s="10"/>
      <c r="B13" s="11">
        <f>SUM(B9:B12)</f>
        <v>422000</v>
      </c>
      <c r="C13" s="10"/>
      <c r="D13" s="11">
        <f>SUM(D9:D12)</f>
        <v>20000</v>
      </c>
      <c r="E13" s="11"/>
      <c r="F13" s="11">
        <f>SUM(F9:F12)</f>
        <v>442000</v>
      </c>
    </row>
    <row r="14" spans="1:6" x14ac:dyDescent="0.25">
      <c r="B14" s="6"/>
      <c r="D14" s="6"/>
      <c r="E14" s="6"/>
      <c r="F14" s="6"/>
    </row>
    <row r="15" spans="1:6" x14ac:dyDescent="0.25">
      <c r="A15" s="1" t="s">
        <v>9</v>
      </c>
      <c r="B15" s="6">
        <v>123000</v>
      </c>
      <c r="D15" s="6">
        <v>5000</v>
      </c>
      <c r="E15" s="6"/>
      <c r="F15" s="6">
        <f>SUM(B15:D15)</f>
        <v>128000</v>
      </c>
    </row>
    <row r="16" spans="1:6" x14ac:dyDescent="0.25">
      <c r="A16" s="1" t="s">
        <v>10</v>
      </c>
      <c r="B16" s="6">
        <f>SUM(B10:B12)</f>
        <v>299000</v>
      </c>
      <c r="D16" s="6">
        <f>SUM(D10:D12)</f>
        <v>15000</v>
      </c>
      <c r="E16" s="6"/>
      <c r="F16" s="6">
        <f>SUM(B16:D16)</f>
        <v>314000</v>
      </c>
    </row>
    <row r="17" spans="1:6" x14ac:dyDescent="0.25">
      <c r="A17" s="10"/>
      <c r="B17" s="11">
        <f>SUM(B15:B16)</f>
        <v>422000</v>
      </c>
      <c r="C17" s="10"/>
      <c r="D17" s="11">
        <f t="shared" ref="D17:F17" si="1">SUM(D15:D16)</f>
        <v>20000</v>
      </c>
      <c r="E17" s="11"/>
      <c r="F17" s="11">
        <f t="shared" si="1"/>
        <v>442000</v>
      </c>
    </row>
    <row r="18" spans="1:6" x14ac:dyDescent="0.25">
      <c r="B18" s="6"/>
      <c r="D18" s="6"/>
      <c r="E18" s="6"/>
      <c r="F18" s="6"/>
    </row>
    <row r="19" spans="1:6" x14ac:dyDescent="0.25">
      <c r="A19" s="7" t="s">
        <v>24</v>
      </c>
      <c r="B19" s="9"/>
      <c r="C19" s="8"/>
      <c r="D19" s="9"/>
      <c r="E19" s="9"/>
      <c r="F19" s="13"/>
    </row>
    <row r="20" spans="1:6" x14ac:dyDescent="0.25">
      <c r="A20" s="1" t="s">
        <v>11</v>
      </c>
      <c r="B20" s="6"/>
      <c r="D20" s="6"/>
      <c r="E20" s="6"/>
      <c r="F20" s="6">
        <v>200</v>
      </c>
    </row>
    <row r="21" spans="1:6" x14ac:dyDescent="0.25">
      <c r="A21" s="1" t="s">
        <v>2</v>
      </c>
      <c r="C21" s="12"/>
      <c r="D21" s="6"/>
      <c r="E21" s="12">
        <v>0.06</v>
      </c>
      <c r="F21" s="6">
        <f>F16*$E21</f>
        <v>18840</v>
      </c>
    </row>
    <row r="22" spans="1:6" x14ac:dyDescent="0.25">
      <c r="A22" s="17" t="s">
        <v>25</v>
      </c>
      <c r="B22" s="17"/>
      <c r="C22" s="12"/>
      <c r="D22" s="6"/>
      <c r="E22" s="12"/>
      <c r="F22" s="6">
        <v>1960</v>
      </c>
    </row>
    <row r="23" spans="1:6" x14ac:dyDescent="0.25">
      <c r="A23" s="10"/>
      <c r="B23" s="11"/>
      <c r="C23" s="10"/>
      <c r="D23" s="11"/>
      <c r="E23" s="11"/>
      <c r="F23" s="11">
        <f>SUM(F20:F22)</f>
        <v>21000</v>
      </c>
    </row>
    <row r="24" spans="1:6" x14ac:dyDescent="0.25">
      <c r="B24" s="6"/>
      <c r="D24" s="6"/>
      <c r="E24" s="6"/>
      <c r="F24" s="6"/>
    </row>
    <row r="25" spans="1:6" x14ac:dyDescent="0.25">
      <c r="A25" s="7" t="s">
        <v>12</v>
      </c>
      <c r="B25" s="9"/>
      <c r="C25" s="8"/>
      <c r="D25" s="9"/>
      <c r="E25" s="9"/>
      <c r="F25" s="9"/>
    </row>
    <row r="26" spans="1:6" x14ac:dyDescent="0.25">
      <c r="A26" s="16" t="s">
        <v>20</v>
      </c>
      <c r="B26" s="16"/>
      <c r="D26" s="6"/>
      <c r="E26" s="6"/>
      <c r="F26" s="6">
        <f>F15</f>
        <v>128000</v>
      </c>
    </row>
    <row r="27" spans="1:6" x14ac:dyDescent="0.25">
      <c r="A27" s="16" t="s">
        <v>21</v>
      </c>
      <c r="B27" s="16"/>
      <c r="D27" s="6"/>
      <c r="E27" s="6"/>
      <c r="F27" s="6">
        <f>F16</f>
        <v>314000</v>
      </c>
    </row>
    <row r="28" spans="1:6" x14ac:dyDescent="0.25">
      <c r="A28" s="17" t="s">
        <v>13</v>
      </c>
      <c r="B28" s="17"/>
      <c r="D28" s="6"/>
      <c r="E28" s="6"/>
      <c r="F28" s="6">
        <f>F23</f>
        <v>21000</v>
      </c>
    </row>
    <row r="29" spans="1:6" x14ac:dyDescent="0.25">
      <c r="A29" s="10"/>
      <c r="B29" s="3"/>
      <c r="C29" s="10"/>
      <c r="D29" s="11"/>
      <c r="E29" s="11"/>
      <c r="F29" s="11">
        <f>SUM(F26:F28)</f>
        <v>463000</v>
      </c>
    </row>
    <row r="30" spans="1:6" x14ac:dyDescent="0.25">
      <c r="B30" s="6"/>
      <c r="D30" s="6"/>
      <c r="E30" s="6"/>
      <c r="F30" s="6"/>
    </row>
    <row r="31" spans="1:6" x14ac:dyDescent="0.25">
      <c r="A31" s="7" t="s">
        <v>8</v>
      </c>
      <c r="B31" s="9"/>
      <c r="C31" s="8"/>
      <c r="D31" s="9"/>
      <c r="E31" s="9"/>
      <c r="F31" s="9"/>
    </row>
    <row r="32" spans="1:6" x14ac:dyDescent="0.25">
      <c r="A32" s="1" t="s">
        <v>22</v>
      </c>
      <c r="B32" s="6"/>
      <c r="D32" s="6"/>
      <c r="E32" s="6"/>
      <c r="F32" s="6">
        <f>F15</f>
        <v>128000</v>
      </c>
    </row>
    <row r="33" spans="1:6" x14ac:dyDescent="0.25">
      <c r="A33" s="1" t="s">
        <v>14</v>
      </c>
      <c r="B33" s="6"/>
      <c r="D33" s="6"/>
      <c r="E33" s="6"/>
      <c r="F33" s="6">
        <v>100000</v>
      </c>
    </row>
    <row r="34" spans="1:6" x14ac:dyDescent="0.25">
      <c r="A34" s="1" t="s">
        <v>15</v>
      </c>
      <c r="B34" s="6"/>
      <c r="D34" s="6"/>
      <c r="E34" s="6"/>
      <c r="F34" s="6">
        <f>F35-F32-F33</f>
        <v>235000</v>
      </c>
    </row>
    <row r="35" spans="1:6" x14ac:dyDescent="0.25">
      <c r="A35" s="10"/>
      <c r="B35" s="11"/>
      <c r="C35" s="10"/>
      <c r="D35" s="11"/>
      <c r="E35" s="11"/>
      <c r="F35" s="11">
        <f>F29</f>
        <v>463000</v>
      </c>
    </row>
  </sheetData>
  <mergeCells count="6">
    <mergeCell ref="A1:F1"/>
    <mergeCell ref="A2:F2"/>
    <mergeCell ref="A26:B26"/>
    <mergeCell ref="A27:B27"/>
    <mergeCell ref="A28:B28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Olivares</dc:creator>
  <cp:lastModifiedBy>Office 3</cp:lastModifiedBy>
  <dcterms:created xsi:type="dcterms:W3CDTF">2015-06-05T18:17:20Z</dcterms:created>
  <dcterms:modified xsi:type="dcterms:W3CDTF">2026-04-30T06:43:54Z</dcterms:modified>
</cp:coreProperties>
</file>