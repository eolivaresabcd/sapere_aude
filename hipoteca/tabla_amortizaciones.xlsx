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c4744725179635e/Desktop/sapere_aude/hipoteca/"/>
    </mc:Choice>
  </mc:AlternateContent>
  <xr:revisionPtr revIDLastSave="134" documentId="13_ncr:1_{6A36A00E-2702-4A70-A591-6BDDD99505EE}" xr6:coauthVersionLast="47" xr6:coauthVersionMax="47" xr10:uidLastSave="{56F1D2D5-4C78-4454-A758-293A7117A1FD}"/>
  <bookViews>
    <workbookView xWindow="-108" yWindow="-108" windowWidth="23256" windowHeight="12456" activeTab="3" xr2:uid="{00000000-000D-0000-FFFF-FFFF00000000}"/>
  </bookViews>
  <sheets>
    <sheet name="pasta_total" sheetId="4" r:id="rId1"/>
    <sheet name="sin_amortizar" sheetId="1" r:id="rId2"/>
    <sheet name="amort1_29840" sheetId="3" r:id="rId3"/>
    <sheet name="amort1_1009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5" l="1"/>
  <c r="E7" i="5"/>
  <c r="H7" i="5" s="1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A10" i="5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B7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H6" i="5"/>
  <c r="F6" i="5"/>
  <c r="H5" i="5"/>
  <c r="B15" i="4"/>
  <c r="B9" i="4"/>
  <c r="B7" i="4"/>
  <c r="B13" i="4" s="1"/>
  <c r="H6" i="3"/>
  <c r="H5" i="3"/>
  <c r="E7" i="3"/>
  <c r="E233" i="3" s="1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B7" i="3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E36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7" i="1"/>
  <c r="E6" i="1"/>
  <c r="D6" i="1"/>
  <c r="C6" i="1" s="1"/>
  <c r="F6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7" i="1"/>
  <c r="B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6" i="1"/>
  <c r="E229" i="5" l="1"/>
  <c r="F7" i="5"/>
  <c r="F8" i="5" s="1"/>
  <c r="D7" i="1"/>
  <c r="C7" i="1" s="1"/>
  <c r="F7" i="1" s="1"/>
  <c r="D8" i="1" s="1"/>
  <c r="C8" i="1" s="1"/>
  <c r="F8" i="1" s="1"/>
  <c r="D9" i="5" l="1"/>
  <c r="C9" i="5" s="1"/>
  <c r="F9" i="5" s="1"/>
  <c r="D9" i="1"/>
  <c r="C9" i="1" s="1"/>
  <c r="F9" i="1" s="1"/>
  <c r="D10" i="5" l="1"/>
  <c r="C10" i="5" s="1"/>
  <c r="F10" i="5" s="1"/>
  <c r="D10" i="1"/>
  <c r="C10" i="1" s="1"/>
  <c r="F10" i="1" s="1"/>
  <c r="D11" i="1" s="1"/>
  <c r="C11" i="1" s="1"/>
  <c r="F11" i="1" s="1"/>
  <c r="D12" i="1" s="1"/>
  <c r="C12" i="1" s="1"/>
  <c r="F12" i="1" s="1"/>
  <c r="D11" i="5" l="1"/>
  <c r="C11" i="5" s="1"/>
  <c r="F11" i="5" s="1"/>
  <c r="D13" i="1"/>
  <c r="C13" i="1" s="1"/>
  <c r="F13" i="1" s="1"/>
  <c r="D12" i="5" l="1"/>
  <c r="C12" i="5" s="1"/>
  <c r="F12" i="5" s="1"/>
  <c r="D14" i="1"/>
  <c r="C14" i="1" s="1"/>
  <c r="F14" i="1" s="1"/>
  <c r="D13" i="5" l="1"/>
  <c r="C13" i="5" s="1"/>
  <c r="F13" i="5" s="1"/>
  <c r="D15" i="1"/>
  <c r="C15" i="1" s="1"/>
  <c r="F15" i="1" s="1"/>
  <c r="D14" i="5" l="1"/>
  <c r="C14" i="5" s="1"/>
  <c r="F14" i="5" s="1"/>
  <c r="D16" i="1"/>
  <c r="C16" i="1" s="1"/>
  <c r="F16" i="1" s="1"/>
  <c r="D15" i="5" l="1"/>
  <c r="C15" i="5" s="1"/>
  <c r="F15" i="5" s="1"/>
  <c r="D17" i="1"/>
  <c r="C17" i="1" s="1"/>
  <c r="F17" i="1"/>
  <c r="D16" i="5" l="1"/>
  <c r="C16" i="5" s="1"/>
  <c r="F16" i="5" s="1"/>
  <c r="D18" i="1"/>
  <c r="C18" i="1" s="1"/>
  <c r="F18" i="1" s="1"/>
  <c r="D17" i="5" l="1"/>
  <c r="C17" i="5" s="1"/>
  <c r="F17" i="5" s="1"/>
  <c r="D19" i="1"/>
  <c r="C19" i="1" s="1"/>
  <c r="F19" i="1" s="1"/>
  <c r="D18" i="5" l="1"/>
  <c r="C18" i="5" s="1"/>
  <c r="F18" i="5" s="1"/>
  <c r="D20" i="1"/>
  <c r="C20" i="1" s="1"/>
  <c r="F20" i="1" s="1"/>
  <c r="D19" i="5" l="1"/>
  <c r="C19" i="5" s="1"/>
  <c r="F19" i="5" s="1"/>
  <c r="D21" i="1"/>
  <c r="C21" i="1" s="1"/>
  <c r="F21" i="1" s="1"/>
  <c r="D20" i="5" l="1"/>
  <c r="C20" i="5" s="1"/>
  <c r="F20" i="5" s="1"/>
  <c r="D22" i="1"/>
  <c r="C22" i="1" s="1"/>
  <c r="F22" i="1" s="1"/>
  <c r="D21" i="5" l="1"/>
  <c r="C21" i="5" s="1"/>
  <c r="F21" i="5" s="1"/>
  <c r="D23" i="1"/>
  <c r="C23" i="1" s="1"/>
  <c r="F23" i="1" s="1"/>
  <c r="D22" i="5" l="1"/>
  <c r="C22" i="5" s="1"/>
  <c r="F22" i="5" s="1"/>
  <c r="D24" i="1"/>
  <c r="C24" i="1" s="1"/>
  <c r="F24" i="1" s="1"/>
  <c r="D23" i="5" l="1"/>
  <c r="C23" i="5" s="1"/>
  <c r="F23" i="5" s="1"/>
  <c r="D25" i="1"/>
  <c r="C25" i="1" s="1"/>
  <c r="F25" i="1" s="1"/>
  <c r="D24" i="5" l="1"/>
  <c r="C24" i="5" s="1"/>
  <c r="F24" i="5" s="1"/>
  <c r="D26" i="1"/>
  <c r="C26" i="1" s="1"/>
  <c r="F26" i="1"/>
  <c r="D25" i="5" l="1"/>
  <c r="C25" i="5" s="1"/>
  <c r="F25" i="5" s="1"/>
  <c r="D27" i="1"/>
  <c r="C27" i="1" s="1"/>
  <c r="F27" i="1" s="1"/>
  <c r="D26" i="5" l="1"/>
  <c r="C26" i="5" s="1"/>
  <c r="F26" i="5" s="1"/>
  <c r="D28" i="1"/>
  <c r="C28" i="1" s="1"/>
  <c r="F28" i="1" s="1"/>
  <c r="D27" i="5" l="1"/>
  <c r="C27" i="5" s="1"/>
  <c r="F27" i="5" s="1"/>
  <c r="D29" i="1"/>
  <c r="C29" i="1" s="1"/>
  <c r="F29" i="1" s="1"/>
  <c r="D28" i="5" l="1"/>
  <c r="C28" i="5" s="1"/>
  <c r="F28" i="5" s="1"/>
  <c r="D30" i="1"/>
  <c r="C30" i="1" s="1"/>
  <c r="F30" i="1" s="1"/>
  <c r="D29" i="5" l="1"/>
  <c r="C29" i="5" s="1"/>
  <c r="F29" i="5" s="1"/>
  <c r="D31" i="1"/>
  <c r="C31" i="1" s="1"/>
  <c r="F31" i="1" s="1"/>
  <c r="D30" i="5" l="1"/>
  <c r="C30" i="5" s="1"/>
  <c r="F30" i="5" s="1"/>
  <c r="D32" i="1"/>
  <c r="C32" i="1" s="1"/>
  <c r="F32" i="1" s="1"/>
  <c r="D31" i="5" l="1"/>
  <c r="C31" i="5" s="1"/>
  <c r="F31" i="5" s="1"/>
  <c r="D33" i="1"/>
  <c r="C33" i="1" s="1"/>
  <c r="F33" i="1" s="1"/>
  <c r="D32" i="5" l="1"/>
  <c r="C32" i="5" s="1"/>
  <c r="F32" i="5" s="1"/>
  <c r="D34" i="1"/>
  <c r="C34" i="1" s="1"/>
  <c r="F34" i="1" s="1"/>
  <c r="D33" i="5" l="1"/>
  <c r="C33" i="5" s="1"/>
  <c r="F33" i="5" s="1"/>
  <c r="D35" i="1"/>
  <c r="C35" i="1" s="1"/>
  <c r="F35" i="1" s="1"/>
  <c r="D34" i="5" l="1"/>
  <c r="C34" i="5" s="1"/>
  <c r="F34" i="5" s="1"/>
  <c r="D36" i="1"/>
  <c r="C36" i="1" s="1"/>
  <c r="F36" i="1" s="1"/>
  <c r="D35" i="5" l="1"/>
  <c r="C35" i="5" s="1"/>
  <c r="F35" i="5" s="1"/>
  <c r="D37" i="1"/>
  <c r="C37" i="1" s="1"/>
  <c r="F37" i="1" s="1"/>
  <c r="D36" i="5" l="1"/>
  <c r="C36" i="5" s="1"/>
  <c r="F36" i="5" s="1"/>
  <c r="D38" i="1"/>
  <c r="C38" i="1" s="1"/>
  <c r="F38" i="1" s="1"/>
  <c r="D37" i="5" l="1"/>
  <c r="C37" i="5" s="1"/>
  <c r="F37" i="5" s="1"/>
  <c r="D39" i="1"/>
  <c r="C39" i="1" s="1"/>
  <c r="F39" i="1" s="1"/>
  <c r="D38" i="5" l="1"/>
  <c r="C38" i="5" s="1"/>
  <c r="F38" i="5" s="1"/>
  <c r="D40" i="1"/>
  <c r="C40" i="1" s="1"/>
  <c r="F40" i="1" s="1"/>
  <c r="D39" i="5" l="1"/>
  <c r="C39" i="5" s="1"/>
  <c r="F39" i="5" s="1"/>
  <c r="D41" i="1"/>
  <c r="C41" i="1" s="1"/>
  <c r="F41" i="1" s="1"/>
  <c r="D40" i="5" l="1"/>
  <c r="C40" i="5" s="1"/>
  <c r="F40" i="5" s="1"/>
  <c r="D42" i="1"/>
  <c r="C42" i="1" s="1"/>
  <c r="F42" i="1" s="1"/>
  <c r="D41" i="5" l="1"/>
  <c r="C41" i="5" s="1"/>
  <c r="F41" i="5" s="1"/>
  <c r="D43" i="1"/>
  <c r="C43" i="1" s="1"/>
  <c r="F43" i="1" s="1"/>
  <c r="D42" i="5" l="1"/>
  <c r="C42" i="5" s="1"/>
  <c r="F42" i="5" s="1"/>
  <c r="D44" i="1"/>
  <c r="C44" i="1" s="1"/>
  <c r="F44" i="1" s="1"/>
  <c r="D43" i="5" l="1"/>
  <c r="C43" i="5" s="1"/>
  <c r="F43" i="5" s="1"/>
  <c r="D45" i="1"/>
  <c r="C45" i="1" s="1"/>
  <c r="F45" i="1" s="1"/>
  <c r="D44" i="5" l="1"/>
  <c r="C44" i="5" s="1"/>
  <c r="F44" i="5" s="1"/>
  <c r="D46" i="1"/>
  <c r="C46" i="1" s="1"/>
  <c r="F46" i="1" s="1"/>
  <c r="D45" i="5" l="1"/>
  <c r="C45" i="5" s="1"/>
  <c r="F45" i="5" s="1"/>
  <c r="D47" i="1"/>
  <c r="C47" i="1" s="1"/>
  <c r="F47" i="1" s="1"/>
  <c r="D46" i="5" l="1"/>
  <c r="C46" i="5" s="1"/>
  <c r="F46" i="5" s="1"/>
  <c r="D48" i="1"/>
  <c r="C48" i="1" s="1"/>
  <c r="F48" i="1" s="1"/>
  <c r="D47" i="5" l="1"/>
  <c r="C47" i="5" s="1"/>
  <c r="F47" i="5" s="1"/>
  <c r="D49" i="1"/>
  <c r="C49" i="1" s="1"/>
  <c r="F49" i="1"/>
  <c r="D48" i="5" l="1"/>
  <c r="C48" i="5" s="1"/>
  <c r="F48" i="5" s="1"/>
  <c r="D50" i="1"/>
  <c r="C50" i="1" s="1"/>
  <c r="F50" i="1"/>
  <c r="D49" i="5" l="1"/>
  <c r="C49" i="5" s="1"/>
  <c r="F49" i="5" s="1"/>
  <c r="D51" i="1"/>
  <c r="C51" i="1" s="1"/>
  <c r="F51" i="1" s="1"/>
  <c r="D50" i="5" l="1"/>
  <c r="C50" i="5" s="1"/>
  <c r="F50" i="5" s="1"/>
  <c r="D52" i="1"/>
  <c r="C52" i="1" s="1"/>
  <c r="F52" i="1" s="1"/>
  <c r="D51" i="5" l="1"/>
  <c r="C51" i="5" s="1"/>
  <c r="F51" i="5" s="1"/>
  <c r="D53" i="1"/>
  <c r="C53" i="1" s="1"/>
  <c r="F53" i="1" s="1"/>
  <c r="D52" i="5" l="1"/>
  <c r="C52" i="5" s="1"/>
  <c r="F52" i="5" s="1"/>
  <c r="D54" i="1"/>
  <c r="C54" i="1" s="1"/>
  <c r="F54" i="1" s="1"/>
  <c r="D53" i="5" l="1"/>
  <c r="C53" i="5" s="1"/>
  <c r="F53" i="5" s="1"/>
  <c r="D55" i="1"/>
  <c r="C55" i="1" s="1"/>
  <c r="F55" i="1" s="1"/>
  <c r="D54" i="5" l="1"/>
  <c r="C54" i="5" s="1"/>
  <c r="F54" i="5" s="1"/>
  <c r="D56" i="1"/>
  <c r="C56" i="1" s="1"/>
  <c r="F56" i="1" s="1"/>
  <c r="D55" i="5" l="1"/>
  <c r="C55" i="5" s="1"/>
  <c r="F55" i="5" s="1"/>
  <c r="D57" i="1"/>
  <c r="C57" i="1" s="1"/>
  <c r="F57" i="1" s="1"/>
  <c r="D56" i="5" l="1"/>
  <c r="C56" i="5" s="1"/>
  <c r="F56" i="5" s="1"/>
  <c r="D58" i="1"/>
  <c r="C58" i="1" s="1"/>
  <c r="F58" i="1"/>
  <c r="D57" i="5" l="1"/>
  <c r="C57" i="5" s="1"/>
  <c r="F57" i="5" s="1"/>
  <c r="D59" i="1"/>
  <c r="C59" i="1" s="1"/>
  <c r="F59" i="1"/>
  <c r="D58" i="5" l="1"/>
  <c r="C58" i="5" s="1"/>
  <c r="F58" i="5" s="1"/>
  <c r="D60" i="1"/>
  <c r="C60" i="1" s="1"/>
  <c r="F60" i="1" s="1"/>
  <c r="D59" i="5" l="1"/>
  <c r="C59" i="5" s="1"/>
  <c r="F59" i="5" s="1"/>
  <c r="D61" i="1"/>
  <c r="C61" i="1" s="1"/>
  <c r="F61" i="1" s="1"/>
  <c r="D60" i="5" l="1"/>
  <c r="C60" i="5" s="1"/>
  <c r="F60" i="5" s="1"/>
  <c r="D62" i="1"/>
  <c r="C62" i="1" s="1"/>
  <c r="F62" i="1"/>
  <c r="D61" i="5" l="1"/>
  <c r="C61" i="5" s="1"/>
  <c r="F61" i="5" s="1"/>
  <c r="D63" i="1"/>
  <c r="C63" i="1" s="1"/>
  <c r="F63" i="1"/>
  <c r="D62" i="5" l="1"/>
  <c r="C62" i="5" s="1"/>
  <c r="F62" i="5" s="1"/>
  <c r="D64" i="1"/>
  <c r="C64" i="1" s="1"/>
  <c r="F64" i="1" s="1"/>
  <c r="D63" i="5" l="1"/>
  <c r="C63" i="5" s="1"/>
  <c r="F63" i="5" s="1"/>
  <c r="D65" i="1"/>
  <c r="C65" i="1" s="1"/>
  <c r="F65" i="1" s="1"/>
  <c r="D64" i="5" l="1"/>
  <c r="C64" i="5" s="1"/>
  <c r="F64" i="5" s="1"/>
  <c r="D66" i="1"/>
  <c r="C66" i="1" s="1"/>
  <c r="F66" i="1" s="1"/>
  <c r="D65" i="5" l="1"/>
  <c r="C65" i="5" s="1"/>
  <c r="F65" i="5" s="1"/>
  <c r="D67" i="1"/>
  <c r="C67" i="1" s="1"/>
  <c r="F67" i="1" s="1"/>
  <c r="D66" i="5" l="1"/>
  <c r="C66" i="5" s="1"/>
  <c r="F66" i="5" s="1"/>
  <c r="D68" i="1"/>
  <c r="C68" i="1" s="1"/>
  <c r="F68" i="1" s="1"/>
  <c r="D67" i="5" l="1"/>
  <c r="C67" i="5" s="1"/>
  <c r="F67" i="5" s="1"/>
  <c r="D69" i="1"/>
  <c r="C69" i="1" s="1"/>
  <c r="F69" i="1"/>
  <c r="D68" i="5" l="1"/>
  <c r="C68" i="5" s="1"/>
  <c r="F68" i="5" s="1"/>
  <c r="D70" i="1"/>
  <c r="C70" i="1" s="1"/>
  <c r="F70" i="1" s="1"/>
  <c r="D69" i="5" l="1"/>
  <c r="C69" i="5" s="1"/>
  <c r="F69" i="5" s="1"/>
  <c r="D71" i="1"/>
  <c r="C71" i="1" s="1"/>
  <c r="F71" i="1" s="1"/>
  <c r="D70" i="5" l="1"/>
  <c r="C70" i="5" s="1"/>
  <c r="F70" i="5" s="1"/>
  <c r="D72" i="1"/>
  <c r="C72" i="1" s="1"/>
  <c r="F72" i="1" s="1"/>
  <c r="D71" i="5" l="1"/>
  <c r="C71" i="5" s="1"/>
  <c r="F71" i="5" s="1"/>
  <c r="D73" i="1"/>
  <c r="C73" i="1" s="1"/>
  <c r="F73" i="1" s="1"/>
  <c r="D72" i="5" l="1"/>
  <c r="C72" i="5" s="1"/>
  <c r="F72" i="5" s="1"/>
  <c r="D74" i="1"/>
  <c r="C74" i="1" s="1"/>
  <c r="F74" i="1" s="1"/>
  <c r="D73" i="5" l="1"/>
  <c r="C73" i="5" s="1"/>
  <c r="F73" i="5" s="1"/>
  <c r="D75" i="1"/>
  <c r="C75" i="1" s="1"/>
  <c r="F75" i="1" s="1"/>
  <c r="D74" i="5" l="1"/>
  <c r="C74" i="5" s="1"/>
  <c r="F74" i="5" s="1"/>
  <c r="D76" i="1"/>
  <c r="C76" i="1" s="1"/>
  <c r="F76" i="1" s="1"/>
  <c r="D75" i="5" l="1"/>
  <c r="C75" i="5" s="1"/>
  <c r="F75" i="5" s="1"/>
  <c r="D77" i="1"/>
  <c r="C77" i="1" s="1"/>
  <c r="F77" i="1" s="1"/>
  <c r="D76" i="5" l="1"/>
  <c r="C76" i="5" s="1"/>
  <c r="F76" i="5" s="1"/>
  <c r="D78" i="1"/>
  <c r="C78" i="1" s="1"/>
  <c r="F78" i="1" s="1"/>
  <c r="D77" i="5" l="1"/>
  <c r="C77" i="5" s="1"/>
  <c r="F77" i="5" s="1"/>
  <c r="D79" i="1"/>
  <c r="C79" i="1" s="1"/>
  <c r="F79" i="1" s="1"/>
  <c r="D78" i="5" l="1"/>
  <c r="C78" i="5" s="1"/>
  <c r="F78" i="5" s="1"/>
  <c r="D80" i="1"/>
  <c r="C80" i="1" s="1"/>
  <c r="F80" i="1"/>
  <c r="D79" i="5" l="1"/>
  <c r="C79" i="5" s="1"/>
  <c r="F79" i="5" s="1"/>
  <c r="D81" i="1"/>
  <c r="C81" i="1" s="1"/>
  <c r="F81" i="1" s="1"/>
  <c r="D80" i="5" l="1"/>
  <c r="C80" i="5" s="1"/>
  <c r="F80" i="5" s="1"/>
  <c r="D82" i="1"/>
  <c r="C82" i="1" s="1"/>
  <c r="F82" i="1" s="1"/>
  <c r="D81" i="5" l="1"/>
  <c r="C81" i="5" s="1"/>
  <c r="F81" i="5" s="1"/>
  <c r="D83" i="1"/>
  <c r="C83" i="1" s="1"/>
  <c r="F83" i="1" s="1"/>
  <c r="D82" i="5" l="1"/>
  <c r="C82" i="5" s="1"/>
  <c r="F82" i="5" s="1"/>
  <c r="D84" i="1"/>
  <c r="C84" i="1" s="1"/>
  <c r="F84" i="1" s="1"/>
  <c r="D83" i="5" l="1"/>
  <c r="C83" i="5" s="1"/>
  <c r="F83" i="5" s="1"/>
  <c r="D85" i="1"/>
  <c r="C85" i="1" s="1"/>
  <c r="F85" i="1" s="1"/>
  <c r="D84" i="5" l="1"/>
  <c r="C84" i="5" s="1"/>
  <c r="F84" i="5" s="1"/>
  <c r="D86" i="1"/>
  <c r="C86" i="1" s="1"/>
  <c r="F86" i="1" s="1"/>
  <c r="D85" i="5" l="1"/>
  <c r="C85" i="5" s="1"/>
  <c r="F85" i="5" s="1"/>
  <c r="D87" i="1"/>
  <c r="C87" i="1" s="1"/>
  <c r="F87" i="1" s="1"/>
  <c r="D86" i="5" l="1"/>
  <c r="C86" i="5" s="1"/>
  <c r="F86" i="5" s="1"/>
  <c r="D88" i="1"/>
  <c r="C88" i="1" s="1"/>
  <c r="F88" i="1"/>
  <c r="D87" i="5" l="1"/>
  <c r="C87" i="5" s="1"/>
  <c r="F87" i="5" s="1"/>
  <c r="D89" i="1"/>
  <c r="C89" i="1" s="1"/>
  <c r="F89" i="1" s="1"/>
  <c r="D88" i="5" l="1"/>
  <c r="C88" i="5" s="1"/>
  <c r="F88" i="5" s="1"/>
  <c r="D90" i="1"/>
  <c r="C90" i="1" s="1"/>
  <c r="F90" i="1" s="1"/>
  <c r="D89" i="5" l="1"/>
  <c r="C89" i="5" s="1"/>
  <c r="F89" i="5" s="1"/>
  <c r="D91" i="1"/>
  <c r="C91" i="1" s="1"/>
  <c r="F91" i="1" s="1"/>
  <c r="D90" i="5" l="1"/>
  <c r="C90" i="5" s="1"/>
  <c r="F90" i="5" s="1"/>
  <c r="D92" i="1"/>
  <c r="C92" i="1" s="1"/>
  <c r="F92" i="1" s="1"/>
  <c r="D91" i="5" l="1"/>
  <c r="C91" i="5" s="1"/>
  <c r="F91" i="5" s="1"/>
  <c r="D93" i="1"/>
  <c r="C93" i="1" s="1"/>
  <c r="F93" i="1"/>
  <c r="D92" i="5" l="1"/>
  <c r="C92" i="5" s="1"/>
  <c r="F92" i="5" s="1"/>
  <c r="D94" i="1"/>
  <c r="C94" i="1" s="1"/>
  <c r="F94" i="1"/>
  <c r="D93" i="5" l="1"/>
  <c r="C93" i="5" s="1"/>
  <c r="F93" i="5" s="1"/>
  <c r="D95" i="1"/>
  <c r="C95" i="1" s="1"/>
  <c r="F95" i="1" s="1"/>
  <c r="D94" i="5" l="1"/>
  <c r="C94" i="5" s="1"/>
  <c r="F94" i="5" s="1"/>
  <c r="D96" i="1"/>
  <c r="C96" i="1" s="1"/>
  <c r="F96" i="1" s="1"/>
  <c r="D95" i="5" l="1"/>
  <c r="C95" i="5" s="1"/>
  <c r="F95" i="5" s="1"/>
  <c r="D97" i="1"/>
  <c r="C97" i="1" s="1"/>
  <c r="F97" i="1"/>
  <c r="D96" i="5" l="1"/>
  <c r="C96" i="5" s="1"/>
  <c r="F96" i="5" s="1"/>
  <c r="D98" i="1"/>
  <c r="C98" i="1" s="1"/>
  <c r="F98" i="1" s="1"/>
  <c r="D97" i="5" l="1"/>
  <c r="C97" i="5" s="1"/>
  <c r="F97" i="5" s="1"/>
  <c r="D99" i="1"/>
  <c r="C99" i="1" s="1"/>
  <c r="F99" i="1" s="1"/>
  <c r="D98" i="5" l="1"/>
  <c r="C98" i="5" s="1"/>
  <c r="F98" i="5" s="1"/>
  <c r="D100" i="1"/>
  <c r="C100" i="1" s="1"/>
  <c r="F100" i="1"/>
  <c r="D99" i="5" l="1"/>
  <c r="C99" i="5" s="1"/>
  <c r="F99" i="5" s="1"/>
  <c r="D101" i="1"/>
  <c r="C101" i="1" s="1"/>
  <c r="F101" i="1" s="1"/>
  <c r="D100" i="5" l="1"/>
  <c r="C100" i="5" s="1"/>
  <c r="F100" i="5" s="1"/>
  <c r="D102" i="1"/>
  <c r="C102" i="1" s="1"/>
  <c r="F102" i="1" s="1"/>
  <c r="D101" i="5" l="1"/>
  <c r="C101" i="5" s="1"/>
  <c r="F101" i="5"/>
  <c r="D103" i="1"/>
  <c r="C103" i="1" s="1"/>
  <c r="F103" i="1" s="1"/>
  <c r="D102" i="5" l="1"/>
  <c r="C102" i="5" s="1"/>
  <c r="F102" i="5" s="1"/>
  <c r="D104" i="1"/>
  <c r="C104" i="1" s="1"/>
  <c r="F104" i="1" s="1"/>
  <c r="D103" i="5" l="1"/>
  <c r="C103" i="5" s="1"/>
  <c r="F103" i="5" s="1"/>
  <c r="D105" i="1"/>
  <c r="C105" i="1" s="1"/>
  <c r="F105" i="1" s="1"/>
  <c r="D104" i="5" l="1"/>
  <c r="C104" i="5" s="1"/>
  <c r="F104" i="5" s="1"/>
  <c r="D106" i="1"/>
  <c r="C106" i="1" s="1"/>
  <c r="F106" i="1" s="1"/>
  <c r="D105" i="5" l="1"/>
  <c r="C105" i="5" s="1"/>
  <c r="F105" i="5" s="1"/>
  <c r="D107" i="1"/>
  <c r="C107" i="1" s="1"/>
  <c r="F107" i="1" s="1"/>
  <c r="D106" i="5" l="1"/>
  <c r="C106" i="5" s="1"/>
  <c r="F106" i="5" s="1"/>
  <c r="D108" i="1"/>
  <c r="C108" i="1" s="1"/>
  <c r="F108" i="1"/>
  <c r="D107" i="5" l="1"/>
  <c r="C107" i="5" s="1"/>
  <c r="F107" i="5" s="1"/>
  <c r="D109" i="1"/>
  <c r="C109" i="1" s="1"/>
  <c r="F109" i="1"/>
  <c r="D108" i="5" l="1"/>
  <c r="C108" i="5" s="1"/>
  <c r="F108" i="5" s="1"/>
  <c r="D110" i="1"/>
  <c r="C110" i="1" s="1"/>
  <c r="F110" i="1"/>
  <c r="D109" i="5" l="1"/>
  <c r="C109" i="5" s="1"/>
  <c r="F109" i="5" s="1"/>
  <c r="D111" i="1"/>
  <c r="C111" i="1" s="1"/>
  <c r="F111" i="1"/>
  <c r="D110" i="5" l="1"/>
  <c r="C110" i="5" s="1"/>
  <c r="F110" i="5" s="1"/>
  <c r="D112" i="1"/>
  <c r="C112" i="1" s="1"/>
  <c r="F112" i="1" s="1"/>
  <c r="D111" i="5" l="1"/>
  <c r="C111" i="5" s="1"/>
  <c r="F111" i="5" s="1"/>
  <c r="D113" i="1"/>
  <c r="C113" i="1" s="1"/>
  <c r="F113" i="1" s="1"/>
  <c r="D112" i="5" l="1"/>
  <c r="C112" i="5" s="1"/>
  <c r="F112" i="5"/>
  <c r="D114" i="1"/>
  <c r="C114" i="1" s="1"/>
  <c r="F114" i="1" s="1"/>
  <c r="D113" i="5" l="1"/>
  <c r="C113" i="5" s="1"/>
  <c r="F113" i="5" s="1"/>
  <c r="D115" i="1"/>
  <c r="C115" i="1" s="1"/>
  <c r="F115" i="1" s="1"/>
  <c r="D114" i="5" l="1"/>
  <c r="C114" i="5" s="1"/>
  <c r="F114" i="5" s="1"/>
  <c r="D116" i="1"/>
  <c r="C116" i="1" s="1"/>
  <c r="F116" i="1" s="1"/>
  <c r="D115" i="5" l="1"/>
  <c r="C115" i="5" s="1"/>
  <c r="F115" i="5" s="1"/>
  <c r="D117" i="1"/>
  <c r="C117" i="1" s="1"/>
  <c r="F117" i="1" s="1"/>
  <c r="D116" i="5" l="1"/>
  <c r="C116" i="5" s="1"/>
  <c r="F116" i="5" s="1"/>
  <c r="D118" i="1"/>
  <c r="C118" i="1" s="1"/>
  <c r="F118" i="1"/>
  <c r="D117" i="5" l="1"/>
  <c r="C117" i="5" s="1"/>
  <c r="F117" i="5" s="1"/>
  <c r="D119" i="1"/>
  <c r="C119" i="1" s="1"/>
  <c r="F119" i="1"/>
  <c r="D118" i="5" l="1"/>
  <c r="C118" i="5" s="1"/>
  <c r="F118" i="5" s="1"/>
  <c r="D120" i="1"/>
  <c r="C120" i="1" s="1"/>
  <c r="F120" i="1" s="1"/>
  <c r="D119" i="5" l="1"/>
  <c r="C119" i="5" s="1"/>
  <c r="F119" i="5"/>
  <c r="D121" i="1"/>
  <c r="C121" i="1" s="1"/>
  <c r="F121" i="1" s="1"/>
  <c r="D120" i="5" l="1"/>
  <c r="C120" i="5" s="1"/>
  <c r="F120" i="5" s="1"/>
  <c r="D122" i="1"/>
  <c r="C122" i="1" s="1"/>
  <c r="F122" i="1" s="1"/>
  <c r="D121" i="5" l="1"/>
  <c r="C121" i="5" s="1"/>
  <c r="F121" i="5" s="1"/>
  <c r="D123" i="1"/>
  <c r="C123" i="1" s="1"/>
  <c r="F123" i="1" s="1"/>
  <c r="D122" i="5" l="1"/>
  <c r="C122" i="5" s="1"/>
  <c r="F122" i="5" s="1"/>
  <c r="D124" i="1"/>
  <c r="C124" i="1" s="1"/>
  <c r="F124" i="1"/>
  <c r="D123" i="5" l="1"/>
  <c r="C123" i="5" s="1"/>
  <c r="F123" i="5" s="1"/>
  <c r="D125" i="1"/>
  <c r="C125" i="1" s="1"/>
  <c r="F125" i="1"/>
  <c r="D124" i="5" l="1"/>
  <c r="C124" i="5" s="1"/>
  <c r="F124" i="5" s="1"/>
  <c r="D126" i="1"/>
  <c r="C126" i="1" s="1"/>
  <c r="F126" i="1" s="1"/>
  <c r="D125" i="5" l="1"/>
  <c r="C125" i="5" s="1"/>
  <c r="F125" i="5"/>
  <c r="D127" i="1"/>
  <c r="C127" i="1" s="1"/>
  <c r="F127" i="1" s="1"/>
  <c r="D126" i="5" l="1"/>
  <c r="C126" i="5" s="1"/>
  <c r="F126" i="5" s="1"/>
  <c r="D128" i="1"/>
  <c r="C128" i="1" s="1"/>
  <c r="F128" i="1" s="1"/>
  <c r="D127" i="5" l="1"/>
  <c r="C127" i="5" s="1"/>
  <c r="F127" i="5"/>
  <c r="D129" i="1"/>
  <c r="C129" i="1" s="1"/>
  <c r="F129" i="1" s="1"/>
  <c r="D128" i="5" l="1"/>
  <c r="C128" i="5" s="1"/>
  <c r="F128" i="5" s="1"/>
  <c r="D130" i="1"/>
  <c r="C130" i="1" s="1"/>
  <c r="F130" i="1" s="1"/>
  <c r="D129" i="5" l="1"/>
  <c r="C129" i="5" s="1"/>
  <c r="F129" i="5" s="1"/>
  <c r="D131" i="1"/>
  <c r="C131" i="1" s="1"/>
  <c r="F131" i="1" s="1"/>
  <c r="D130" i="5" l="1"/>
  <c r="C130" i="5" s="1"/>
  <c r="F130" i="5" s="1"/>
  <c r="D132" i="1"/>
  <c r="C132" i="1" s="1"/>
  <c r="F132" i="1"/>
  <c r="D131" i="5" l="1"/>
  <c r="C131" i="5" s="1"/>
  <c r="F131" i="5" s="1"/>
  <c r="D133" i="1"/>
  <c r="C133" i="1" s="1"/>
  <c r="F133" i="1" s="1"/>
  <c r="D132" i="5" l="1"/>
  <c r="C132" i="5" s="1"/>
  <c r="F132" i="5" s="1"/>
  <c r="D134" i="1"/>
  <c r="C134" i="1" s="1"/>
  <c r="F134" i="1" s="1"/>
  <c r="D133" i="5" l="1"/>
  <c r="C133" i="5" s="1"/>
  <c r="F133" i="5" s="1"/>
  <c r="D135" i="1"/>
  <c r="C135" i="1" s="1"/>
  <c r="F135" i="1" s="1"/>
  <c r="D134" i="5" l="1"/>
  <c r="C134" i="5" s="1"/>
  <c r="F134" i="5" s="1"/>
  <c r="D136" i="1"/>
  <c r="C136" i="1" s="1"/>
  <c r="F136" i="1" s="1"/>
  <c r="D135" i="5" l="1"/>
  <c r="C135" i="5" s="1"/>
  <c r="F135" i="5"/>
  <c r="D137" i="1"/>
  <c r="C137" i="1" s="1"/>
  <c r="F137" i="1" s="1"/>
  <c r="D136" i="5" l="1"/>
  <c r="C136" i="5" s="1"/>
  <c r="F136" i="5" s="1"/>
  <c r="D138" i="1"/>
  <c r="C138" i="1" s="1"/>
  <c r="F138" i="1" s="1"/>
  <c r="D137" i="5" l="1"/>
  <c r="C137" i="5" s="1"/>
  <c r="F137" i="5" s="1"/>
  <c r="D139" i="1"/>
  <c r="C139" i="1" s="1"/>
  <c r="F139" i="1" s="1"/>
  <c r="D138" i="5" l="1"/>
  <c r="C138" i="5" s="1"/>
  <c r="F138" i="5" s="1"/>
  <c r="D140" i="1"/>
  <c r="C140" i="1" s="1"/>
  <c r="F140" i="1" s="1"/>
  <c r="D139" i="5" l="1"/>
  <c r="C139" i="5" s="1"/>
  <c r="F139" i="5" s="1"/>
  <c r="D141" i="1"/>
  <c r="C141" i="1" s="1"/>
  <c r="F141" i="1"/>
  <c r="D140" i="5" l="1"/>
  <c r="C140" i="5" s="1"/>
  <c r="F140" i="5" s="1"/>
  <c r="D142" i="1"/>
  <c r="C142" i="1" s="1"/>
  <c r="F142" i="1" s="1"/>
  <c r="D141" i="5" l="1"/>
  <c r="C141" i="5" s="1"/>
  <c r="F141" i="5" s="1"/>
  <c r="D143" i="1"/>
  <c r="C143" i="1" s="1"/>
  <c r="F143" i="1" s="1"/>
  <c r="D142" i="5" l="1"/>
  <c r="C142" i="5" s="1"/>
  <c r="F142" i="5" s="1"/>
  <c r="D144" i="1"/>
  <c r="C144" i="1" s="1"/>
  <c r="F144" i="1"/>
  <c r="D143" i="5" l="1"/>
  <c r="C143" i="5" s="1"/>
  <c r="F143" i="5" s="1"/>
  <c r="D145" i="1"/>
  <c r="C145" i="1" s="1"/>
  <c r="F145" i="1"/>
  <c r="D144" i="5" l="1"/>
  <c r="C144" i="5" s="1"/>
  <c r="F144" i="5" s="1"/>
  <c r="D146" i="1"/>
  <c r="C146" i="1" s="1"/>
  <c r="F146" i="1" s="1"/>
  <c r="D145" i="5" l="1"/>
  <c r="C145" i="5" s="1"/>
  <c r="F145" i="5" s="1"/>
  <c r="D147" i="1"/>
  <c r="C147" i="1" s="1"/>
  <c r="F147" i="1" s="1"/>
  <c r="D146" i="5" l="1"/>
  <c r="C146" i="5" s="1"/>
  <c r="F146" i="5" s="1"/>
  <c r="D148" i="1"/>
  <c r="C148" i="1" s="1"/>
  <c r="F148" i="1"/>
  <c r="D147" i="5" l="1"/>
  <c r="C147" i="5" s="1"/>
  <c r="F147" i="5" s="1"/>
  <c r="D149" i="1"/>
  <c r="C149" i="1" s="1"/>
  <c r="F149" i="1" s="1"/>
  <c r="D148" i="5" l="1"/>
  <c r="C148" i="5" s="1"/>
  <c r="F148" i="5" s="1"/>
  <c r="D150" i="1"/>
  <c r="C150" i="1" s="1"/>
  <c r="F150" i="1" s="1"/>
  <c r="D149" i="5" l="1"/>
  <c r="C149" i="5" s="1"/>
  <c r="F149" i="5" s="1"/>
  <c r="D151" i="1"/>
  <c r="C151" i="1" s="1"/>
  <c r="F151" i="1" s="1"/>
  <c r="D150" i="5" l="1"/>
  <c r="C150" i="5" s="1"/>
  <c r="F150" i="5" s="1"/>
  <c r="D152" i="1"/>
  <c r="C152" i="1" s="1"/>
  <c r="F152" i="1"/>
  <c r="D151" i="5" l="1"/>
  <c r="C151" i="5" s="1"/>
  <c r="F151" i="5" s="1"/>
  <c r="D153" i="1"/>
  <c r="C153" i="1" s="1"/>
  <c r="F153" i="1" s="1"/>
  <c r="D152" i="5" l="1"/>
  <c r="C152" i="5" s="1"/>
  <c r="F152" i="5" s="1"/>
  <c r="D154" i="1"/>
  <c r="C154" i="1" s="1"/>
  <c r="F154" i="1" s="1"/>
  <c r="D153" i="5" l="1"/>
  <c r="C153" i="5" s="1"/>
  <c r="F153" i="5" s="1"/>
  <c r="D155" i="1"/>
  <c r="C155" i="1" s="1"/>
  <c r="F155" i="1" s="1"/>
  <c r="D154" i="5" l="1"/>
  <c r="C154" i="5" s="1"/>
  <c r="F154" i="5" s="1"/>
  <c r="D156" i="1"/>
  <c r="C156" i="1" s="1"/>
  <c r="F156" i="1" s="1"/>
  <c r="D155" i="5" l="1"/>
  <c r="C155" i="5" s="1"/>
  <c r="F155" i="5" s="1"/>
  <c r="D157" i="1"/>
  <c r="C157" i="1" s="1"/>
  <c r="F157" i="1" s="1"/>
  <c r="D156" i="5" l="1"/>
  <c r="C156" i="5" s="1"/>
  <c r="F156" i="5" s="1"/>
  <c r="D158" i="1"/>
  <c r="C158" i="1" s="1"/>
  <c r="F158" i="1"/>
  <c r="D157" i="5" l="1"/>
  <c r="C157" i="5" s="1"/>
  <c r="F157" i="5" s="1"/>
  <c r="D159" i="1"/>
  <c r="C159" i="1" s="1"/>
  <c r="F159" i="1" s="1"/>
  <c r="D158" i="5" l="1"/>
  <c r="C158" i="5" s="1"/>
  <c r="F158" i="5" s="1"/>
  <c r="D160" i="1"/>
  <c r="C160" i="1" s="1"/>
  <c r="F160" i="1" s="1"/>
  <c r="D159" i="5" l="1"/>
  <c r="C159" i="5" s="1"/>
  <c r="F159" i="5" s="1"/>
  <c r="D161" i="1"/>
  <c r="C161" i="1" s="1"/>
  <c r="F161" i="1"/>
  <c r="D160" i="5" l="1"/>
  <c r="C160" i="5" s="1"/>
  <c r="F160" i="5" s="1"/>
  <c r="D162" i="1"/>
  <c r="C162" i="1" s="1"/>
  <c r="F162" i="1" s="1"/>
  <c r="D161" i="5" l="1"/>
  <c r="C161" i="5" s="1"/>
  <c r="F161" i="5" s="1"/>
  <c r="D163" i="1"/>
  <c r="C163" i="1" s="1"/>
  <c r="F163" i="1" s="1"/>
  <c r="D162" i="5" l="1"/>
  <c r="C162" i="5" s="1"/>
  <c r="F162" i="5" s="1"/>
  <c r="D164" i="1"/>
  <c r="C164" i="1" s="1"/>
  <c r="F164" i="1" s="1"/>
  <c r="D163" i="5" l="1"/>
  <c r="C163" i="5" s="1"/>
  <c r="F163" i="5" s="1"/>
  <c r="D165" i="1"/>
  <c r="C165" i="1" s="1"/>
  <c r="F165" i="1" s="1"/>
  <c r="D164" i="5" l="1"/>
  <c r="C164" i="5" s="1"/>
  <c r="F164" i="5" s="1"/>
  <c r="D166" i="1"/>
  <c r="C166" i="1" s="1"/>
  <c r="F166" i="1"/>
  <c r="D165" i="5" l="1"/>
  <c r="C165" i="5" s="1"/>
  <c r="F165" i="5" s="1"/>
  <c r="D167" i="1"/>
  <c r="C167" i="1" s="1"/>
  <c r="F167" i="1"/>
  <c r="D166" i="5" l="1"/>
  <c r="C166" i="5" s="1"/>
  <c r="F166" i="5" s="1"/>
  <c r="D168" i="1"/>
  <c r="C168" i="1" s="1"/>
  <c r="F168" i="1"/>
  <c r="D167" i="5" l="1"/>
  <c r="C167" i="5" s="1"/>
  <c r="F167" i="5" s="1"/>
  <c r="D169" i="1"/>
  <c r="C169" i="1" s="1"/>
  <c r="F169" i="1" s="1"/>
  <c r="D168" i="5" l="1"/>
  <c r="C168" i="5" s="1"/>
  <c r="F168" i="5" s="1"/>
  <c r="D170" i="1"/>
  <c r="C170" i="1" s="1"/>
  <c r="F170" i="1"/>
  <c r="D169" i="5" l="1"/>
  <c r="C169" i="5" s="1"/>
  <c r="F169" i="5" s="1"/>
  <c r="D171" i="1"/>
  <c r="C171" i="1" s="1"/>
  <c r="F171" i="1" s="1"/>
  <c r="D170" i="5" l="1"/>
  <c r="C170" i="5" s="1"/>
  <c r="F170" i="5"/>
  <c r="D172" i="1"/>
  <c r="C172" i="1" s="1"/>
  <c r="F172" i="1" s="1"/>
  <c r="D171" i="5" l="1"/>
  <c r="C171" i="5" s="1"/>
  <c r="F171" i="5" s="1"/>
  <c r="D173" i="1"/>
  <c r="C173" i="1" s="1"/>
  <c r="F173" i="1" s="1"/>
  <c r="D172" i="5" l="1"/>
  <c r="C172" i="5" s="1"/>
  <c r="F172" i="5" s="1"/>
  <c r="D174" i="1"/>
  <c r="C174" i="1" s="1"/>
  <c r="F174" i="1" s="1"/>
  <c r="D173" i="5" l="1"/>
  <c r="C173" i="5" s="1"/>
  <c r="F173" i="5" s="1"/>
  <c r="D175" i="1"/>
  <c r="C175" i="1" s="1"/>
  <c r="F175" i="1" s="1"/>
  <c r="D174" i="5" l="1"/>
  <c r="C174" i="5" s="1"/>
  <c r="F174" i="5" s="1"/>
  <c r="D176" i="1"/>
  <c r="C176" i="1" s="1"/>
  <c r="F176" i="1"/>
  <c r="D175" i="5" l="1"/>
  <c r="C175" i="5" s="1"/>
  <c r="F175" i="5" s="1"/>
  <c r="D177" i="1"/>
  <c r="C177" i="1" s="1"/>
  <c r="F177" i="1" s="1"/>
  <c r="D176" i="5" l="1"/>
  <c r="C176" i="5" s="1"/>
  <c r="F176" i="5" s="1"/>
  <c r="D178" i="1"/>
  <c r="C178" i="1" s="1"/>
  <c r="F178" i="1" s="1"/>
  <c r="D177" i="5" l="1"/>
  <c r="C177" i="5" s="1"/>
  <c r="F177" i="5" s="1"/>
  <c r="D179" i="1"/>
  <c r="C179" i="1" s="1"/>
  <c r="F179" i="1" s="1"/>
  <c r="D178" i="5" l="1"/>
  <c r="C178" i="5" s="1"/>
  <c r="F178" i="5" s="1"/>
  <c r="D180" i="1"/>
  <c r="C180" i="1" s="1"/>
  <c r="F180" i="1" s="1"/>
  <c r="D179" i="5" l="1"/>
  <c r="C179" i="5" s="1"/>
  <c r="F179" i="5" s="1"/>
  <c r="D181" i="1"/>
  <c r="C181" i="1" s="1"/>
  <c r="F181" i="1" s="1"/>
  <c r="D180" i="5" l="1"/>
  <c r="C180" i="5" s="1"/>
  <c r="F180" i="5" s="1"/>
  <c r="D182" i="1"/>
  <c r="C182" i="1" s="1"/>
  <c r="F182" i="1" s="1"/>
  <c r="D181" i="5" l="1"/>
  <c r="C181" i="5" s="1"/>
  <c r="F181" i="5" s="1"/>
  <c r="D183" i="1"/>
  <c r="C183" i="1" s="1"/>
  <c r="F183" i="1"/>
  <c r="D182" i="5" l="1"/>
  <c r="C182" i="5" s="1"/>
  <c r="F182" i="5" s="1"/>
  <c r="D184" i="1"/>
  <c r="C184" i="1" s="1"/>
  <c r="F184" i="1" s="1"/>
  <c r="D183" i="5" l="1"/>
  <c r="C183" i="5" s="1"/>
  <c r="F183" i="5" s="1"/>
  <c r="D185" i="1"/>
  <c r="C185" i="1" s="1"/>
  <c r="F185" i="1" s="1"/>
  <c r="D184" i="5" l="1"/>
  <c r="C184" i="5" s="1"/>
  <c r="F184" i="5" s="1"/>
  <c r="D186" i="1"/>
  <c r="C186" i="1" s="1"/>
  <c r="F186" i="1" s="1"/>
  <c r="D185" i="5" l="1"/>
  <c r="C185" i="5" s="1"/>
  <c r="F185" i="5" s="1"/>
  <c r="D187" i="1"/>
  <c r="C187" i="1" s="1"/>
  <c r="F187" i="1" s="1"/>
  <c r="D186" i="5" l="1"/>
  <c r="C186" i="5" s="1"/>
  <c r="F186" i="5" s="1"/>
  <c r="D188" i="1"/>
  <c r="C188" i="1" s="1"/>
  <c r="F188" i="1" s="1"/>
  <c r="D187" i="5" l="1"/>
  <c r="C187" i="5" s="1"/>
  <c r="F187" i="5" s="1"/>
  <c r="D189" i="1"/>
  <c r="C189" i="1" s="1"/>
  <c r="F189" i="1" s="1"/>
  <c r="D188" i="5" l="1"/>
  <c r="C188" i="5" s="1"/>
  <c r="F188" i="5" s="1"/>
  <c r="D190" i="1"/>
  <c r="C190" i="1" s="1"/>
  <c r="F190" i="1" s="1"/>
  <c r="D189" i="5" l="1"/>
  <c r="C189" i="5" s="1"/>
  <c r="F189" i="5" s="1"/>
  <c r="D191" i="1"/>
  <c r="C191" i="1" s="1"/>
  <c r="F191" i="1" s="1"/>
  <c r="D190" i="5" l="1"/>
  <c r="C190" i="5" s="1"/>
  <c r="F190" i="5" s="1"/>
  <c r="D192" i="1"/>
  <c r="C192" i="1" s="1"/>
  <c r="F192" i="1" s="1"/>
  <c r="D191" i="5" l="1"/>
  <c r="C191" i="5" s="1"/>
  <c r="F191" i="5" s="1"/>
  <c r="D193" i="1"/>
  <c r="C193" i="1" s="1"/>
  <c r="F193" i="1" s="1"/>
  <c r="D192" i="5" l="1"/>
  <c r="C192" i="5" s="1"/>
  <c r="F192" i="5" s="1"/>
  <c r="D194" i="1"/>
  <c r="C194" i="1" s="1"/>
  <c r="F194" i="1" s="1"/>
  <c r="D193" i="5" l="1"/>
  <c r="C193" i="5" s="1"/>
  <c r="F193" i="5" s="1"/>
  <c r="D195" i="1"/>
  <c r="C195" i="1" s="1"/>
  <c r="F195" i="1" s="1"/>
  <c r="D194" i="5" l="1"/>
  <c r="C194" i="5" s="1"/>
  <c r="F194" i="5" s="1"/>
  <c r="D196" i="1"/>
  <c r="C196" i="1" s="1"/>
  <c r="F196" i="1" s="1"/>
  <c r="D195" i="5" l="1"/>
  <c r="C195" i="5" s="1"/>
  <c r="F195" i="5" s="1"/>
  <c r="D197" i="1"/>
  <c r="C197" i="1" s="1"/>
  <c r="F197" i="1" s="1"/>
  <c r="D196" i="5" l="1"/>
  <c r="C196" i="5" s="1"/>
  <c r="F196" i="5" s="1"/>
  <c r="D198" i="1"/>
  <c r="C198" i="1" s="1"/>
  <c r="F198" i="1" s="1"/>
  <c r="D197" i="5" l="1"/>
  <c r="C197" i="5" s="1"/>
  <c r="F197" i="5" s="1"/>
  <c r="D199" i="1"/>
  <c r="C199" i="1" s="1"/>
  <c r="F199" i="1" s="1"/>
  <c r="D198" i="5" l="1"/>
  <c r="C198" i="5" s="1"/>
  <c r="F198" i="5" s="1"/>
  <c r="D200" i="1"/>
  <c r="C200" i="1" s="1"/>
  <c r="F200" i="1" s="1"/>
  <c r="D199" i="5" l="1"/>
  <c r="C199" i="5" s="1"/>
  <c r="F199" i="5" s="1"/>
  <c r="D201" i="1"/>
  <c r="C201" i="1" s="1"/>
  <c r="F201" i="1" s="1"/>
  <c r="D200" i="5" l="1"/>
  <c r="C200" i="5" s="1"/>
  <c r="F200" i="5" s="1"/>
  <c r="D202" i="1"/>
  <c r="C202" i="1" s="1"/>
  <c r="F202" i="1" s="1"/>
  <c r="D201" i="5" l="1"/>
  <c r="C201" i="5" s="1"/>
  <c r="F201" i="5" s="1"/>
  <c r="D203" i="1"/>
  <c r="C203" i="1" s="1"/>
  <c r="F203" i="1" s="1"/>
  <c r="D202" i="5" l="1"/>
  <c r="C202" i="5" s="1"/>
  <c r="F202" i="5" s="1"/>
  <c r="D204" i="1"/>
  <c r="C204" i="1" s="1"/>
  <c r="F204" i="1" s="1"/>
  <c r="D203" i="5" l="1"/>
  <c r="C203" i="5" s="1"/>
  <c r="F203" i="5" s="1"/>
  <c r="D205" i="1"/>
  <c r="C205" i="1" s="1"/>
  <c r="F205" i="1"/>
  <c r="D204" i="5" l="1"/>
  <c r="C204" i="5" s="1"/>
  <c r="F204" i="5" s="1"/>
  <c r="D206" i="1"/>
  <c r="C206" i="1" s="1"/>
  <c r="F206" i="1" s="1"/>
  <c r="D205" i="5" l="1"/>
  <c r="C205" i="5" s="1"/>
  <c r="F205" i="5" s="1"/>
  <c r="D207" i="1"/>
  <c r="C207" i="1" s="1"/>
  <c r="F207" i="1" s="1"/>
  <c r="D206" i="5" l="1"/>
  <c r="C206" i="5" s="1"/>
  <c r="F206" i="5" s="1"/>
  <c r="D208" i="1"/>
  <c r="C208" i="1" s="1"/>
  <c r="F208" i="1" s="1"/>
  <c r="D207" i="5" l="1"/>
  <c r="C207" i="5" s="1"/>
  <c r="F207" i="5" s="1"/>
  <c r="D209" i="1"/>
  <c r="C209" i="1" s="1"/>
  <c r="F209" i="1" s="1"/>
  <c r="D208" i="5" l="1"/>
  <c r="C208" i="5" s="1"/>
  <c r="F208" i="5" s="1"/>
  <c r="D210" i="1"/>
  <c r="C210" i="1" s="1"/>
  <c r="F210" i="1" s="1"/>
  <c r="D209" i="5" l="1"/>
  <c r="C209" i="5" s="1"/>
  <c r="F209" i="5" s="1"/>
  <c r="D211" i="1"/>
  <c r="C211" i="1" s="1"/>
  <c r="F211" i="1" s="1"/>
  <c r="D210" i="5" l="1"/>
  <c r="C210" i="5" s="1"/>
  <c r="F210" i="5" s="1"/>
  <c r="D212" i="1"/>
  <c r="C212" i="1" s="1"/>
  <c r="F212" i="1"/>
  <c r="D211" i="5" l="1"/>
  <c r="C211" i="5" s="1"/>
  <c r="F211" i="5" s="1"/>
  <c r="D213" i="1"/>
  <c r="C213" i="1" s="1"/>
  <c r="F213" i="1"/>
  <c r="D212" i="5" l="1"/>
  <c r="C212" i="5" s="1"/>
  <c r="F212" i="5" s="1"/>
  <c r="D214" i="1"/>
  <c r="C214" i="1" s="1"/>
  <c r="F214" i="1" s="1"/>
  <c r="D213" i="5" l="1"/>
  <c r="C213" i="5" s="1"/>
  <c r="F213" i="5" s="1"/>
  <c r="D215" i="1"/>
  <c r="C215" i="1" s="1"/>
  <c r="F215" i="1" s="1"/>
  <c r="D214" i="5" l="1"/>
  <c r="C214" i="5" s="1"/>
  <c r="F214" i="5" s="1"/>
  <c r="D216" i="1"/>
  <c r="C216" i="1" s="1"/>
  <c r="F216" i="1"/>
  <c r="D215" i="5" l="1"/>
  <c r="C215" i="5" s="1"/>
  <c r="F215" i="5" s="1"/>
  <c r="D217" i="1"/>
  <c r="C217" i="1" s="1"/>
  <c r="F217" i="1"/>
  <c r="D216" i="5" l="1"/>
  <c r="C216" i="5" s="1"/>
  <c r="F216" i="5" s="1"/>
  <c r="D218" i="1"/>
  <c r="C218" i="1" s="1"/>
  <c r="F218" i="1" s="1"/>
  <c r="D217" i="5" l="1"/>
  <c r="C217" i="5" s="1"/>
  <c r="F217" i="5" s="1"/>
  <c r="D219" i="1"/>
  <c r="C219" i="1" s="1"/>
  <c r="F219" i="1" s="1"/>
  <c r="D218" i="5" l="1"/>
  <c r="C218" i="5" s="1"/>
  <c r="F218" i="5" s="1"/>
  <c r="D220" i="1"/>
  <c r="C220" i="1" s="1"/>
  <c r="F220" i="1" s="1"/>
  <c r="D219" i="5" l="1"/>
  <c r="C219" i="5" s="1"/>
  <c r="F219" i="5" s="1"/>
  <c r="D221" i="1"/>
  <c r="C221" i="1" s="1"/>
  <c r="F221" i="1" s="1"/>
  <c r="D220" i="5" l="1"/>
  <c r="C220" i="5" s="1"/>
  <c r="F220" i="5" s="1"/>
  <c r="D222" i="1"/>
  <c r="C222" i="1" s="1"/>
  <c r="F222" i="1" s="1"/>
  <c r="D221" i="5" l="1"/>
  <c r="C221" i="5" s="1"/>
  <c r="F221" i="5" s="1"/>
  <c r="D223" i="1"/>
  <c r="C223" i="1" s="1"/>
  <c r="F223" i="1" s="1"/>
  <c r="D222" i="5" l="1"/>
  <c r="C222" i="5" s="1"/>
  <c r="F222" i="5" s="1"/>
  <c r="D224" i="1"/>
  <c r="C224" i="1" s="1"/>
  <c r="F224" i="1" s="1"/>
  <c r="D223" i="5" l="1"/>
  <c r="C223" i="5" s="1"/>
  <c r="F223" i="5" s="1"/>
  <c r="D225" i="1"/>
  <c r="C225" i="1" s="1"/>
  <c r="F225" i="1"/>
  <c r="D224" i="5" l="1"/>
  <c r="C224" i="5" s="1"/>
  <c r="F224" i="5" s="1"/>
  <c r="D226" i="1"/>
  <c r="C226" i="1" s="1"/>
  <c r="F226" i="1" s="1"/>
  <c r="D225" i="5" l="1"/>
  <c r="C225" i="5" s="1"/>
  <c r="F225" i="5" s="1"/>
  <c r="D227" i="1"/>
  <c r="C227" i="1" s="1"/>
  <c r="F227" i="1" s="1"/>
  <c r="D226" i="5" l="1"/>
  <c r="C226" i="5" s="1"/>
  <c r="F226" i="5" s="1"/>
  <c r="D228" i="1"/>
  <c r="C228" i="1" s="1"/>
  <c r="F228" i="1"/>
  <c r="D229" i="1" l="1"/>
  <c r="C229" i="1" s="1"/>
  <c r="F229" i="1" s="1"/>
  <c r="D230" i="1" l="1"/>
  <c r="C230" i="1" s="1"/>
  <c r="F230" i="1" s="1"/>
  <c r="D231" i="1" l="1"/>
  <c r="C231" i="1" s="1"/>
  <c r="F231" i="1" s="1"/>
  <c r="D232" i="1" l="1"/>
  <c r="C232" i="1" s="1"/>
  <c r="F232" i="1"/>
  <c r="D233" i="1" l="1"/>
  <c r="C233" i="1" s="1"/>
  <c r="F233" i="1"/>
  <c r="D234" i="1" l="1"/>
  <c r="C234" i="1" s="1"/>
  <c r="F234" i="1" s="1"/>
  <c r="D235" i="1" l="1"/>
  <c r="C235" i="1" s="1"/>
  <c r="F235" i="1"/>
  <c r="D236" i="1" l="1"/>
  <c r="C236" i="1" s="1"/>
  <c r="F236" i="1" s="1"/>
  <c r="D237" i="1" l="1"/>
  <c r="C237" i="1" s="1"/>
  <c r="F237" i="1" s="1"/>
  <c r="D238" i="1" l="1"/>
  <c r="C238" i="1" s="1"/>
  <c r="F238" i="1"/>
  <c r="D239" i="1" l="1"/>
  <c r="C239" i="1" s="1"/>
  <c r="F239" i="1" s="1"/>
  <c r="D240" i="1" l="1"/>
  <c r="C240" i="1" s="1"/>
  <c r="F240" i="1" s="1"/>
  <c r="D241" i="1" l="1"/>
  <c r="C241" i="1" s="1"/>
  <c r="F241" i="1"/>
  <c r="D242" i="1" l="1"/>
  <c r="C242" i="1" s="1"/>
  <c r="F242" i="1" s="1"/>
  <c r="D243" i="1" l="1"/>
  <c r="C243" i="1" s="1"/>
  <c r="F243" i="1"/>
  <c r="D244" i="1" l="1"/>
  <c r="C244" i="1" s="1"/>
  <c r="F244" i="1" s="1"/>
  <c r="D245" i="1" l="1"/>
  <c r="C245" i="1" s="1"/>
  <c r="F245" i="1" s="1"/>
  <c r="D246" i="1" l="1"/>
  <c r="C246" i="1" s="1"/>
  <c r="F246" i="1" s="1"/>
  <c r="D247" i="1" l="1"/>
  <c r="C247" i="1" s="1"/>
  <c r="F247" i="1"/>
  <c r="D248" i="1" l="1"/>
  <c r="C248" i="1" s="1"/>
  <c r="F248" i="1" s="1"/>
  <c r="D249" i="1" l="1"/>
  <c r="C249" i="1" s="1"/>
  <c r="F249" i="1"/>
  <c r="D250" i="1" l="1"/>
  <c r="C250" i="1" s="1"/>
  <c r="F250" i="1" s="1"/>
  <c r="D251" i="1" l="1"/>
  <c r="C251" i="1" s="1"/>
  <c r="F251" i="1" s="1"/>
  <c r="D252" i="1" l="1"/>
  <c r="C252" i="1" s="1"/>
  <c r="F252" i="1" s="1"/>
  <c r="D253" i="1" l="1"/>
  <c r="C253" i="1" s="1"/>
  <c r="F253" i="1"/>
  <c r="D254" i="1" l="1"/>
  <c r="C254" i="1" s="1"/>
  <c r="F254" i="1"/>
  <c r="D255" i="1" l="1"/>
  <c r="C255" i="1" s="1"/>
  <c r="F255" i="1"/>
  <c r="D256" i="1" l="1"/>
  <c r="C256" i="1" s="1"/>
  <c r="F256" i="1"/>
  <c r="D257" i="1" l="1"/>
  <c r="C257" i="1" s="1"/>
  <c r="F257" i="1"/>
  <c r="D258" i="1" l="1"/>
  <c r="C258" i="1" s="1"/>
  <c r="F258" i="1" s="1"/>
  <c r="D259" i="1" l="1"/>
  <c r="C259" i="1" s="1"/>
  <c r="F259" i="1" s="1"/>
  <c r="D260" i="1" l="1"/>
  <c r="C260" i="1" s="1"/>
  <c r="F260" i="1"/>
  <c r="D261" i="1" l="1"/>
  <c r="C261" i="1" s="1"/>
  <c r="F261" i="1"/>
  <c r="D262" i="1" l="1"/>
  <c r="C262" i="1" s="1"/>
  <c r="F262" i="1" s="1"/>
  <c r="D263" i="1" l="1"/>
  <c r="C263" i="1" s="1"/>
  <c r="F263" i="1"/>
  <c r="D264" i="1" l="1"/>
  <c r="C264" i="1" s="1"/>
  <c r="F264" i="1"/>
  <c r="D265" i="1" l="1"/>
  <c r="C265" i="1" s="1"/>
  <c r="F265" i="1"/>
  <c r="D266" i="1" l="1"/>
  <c r="C266" i="1" s="1"/>
  <c r="F266" i="1"/>
  <c r="D267" i="1" l="1"/>
  <c r="C267" i="1" s="1"/>
  <c r="F267" i="1" s="1"/>
  <c r="D268" i="1" l="1"/>
  <c r="C268" i="1" s="1"/>
  <c r="F268" i="1"/>
  <c r="D269" i="1" l="1"/>
  <c r="C269" i="1" s="1"/>
  <c r="F269" i="1"/>
  <c r="D270" i="1" l="1"/>
  <c r="C270" i="1" s="1"/>
  <c r="F270" i="1" s="1"/>
  <c r="D271" i="1" l="1"/>
  <c r="C271" i="1" s="1"/>
  <c r="F271" i="1" s="1"/>
  <c r="D272" i="1" l="1"/>
  <c r="C272" i="1" s="1"/>
  <c r="F272" i="1" s="1"/>
  <c r="D273" i="1" l="1"/>
  <c r="C273" i="1" s="1"/>
  <c r="F273" i="1" s="1"/>
  <c r="D274" i="1" l="1"/>
  <c r="C274" i="1" s="1"/>
  <c r="F274" i="1" s="1"/>
  <c r="D275" i="1" l="1"/>
  <c r="C275" i="1" s="1"/>
  <c r="F275" i="1" s="1"/>
  <c r="D276" i="1" l="1"/>
  <c r="C276" i="1" s="1"/>
  <c r="F276" i="1" s="1"/>
  <c r="D277" i="1" l="1"/>
  <c r="C277" i="1" s="1"/>
  <c r="F277" i="1" s="1"/>
  <c r="D278" i="1" l="1"/>
  <c r="C278" i="1" s="1"/>
  <c r="F278" i="1" s="1"/>
  <c r="D279" i="1" l="1"/>
  <c r="C279" i="1" s="1"/>
  <c r="F279" i="1" s="1"/>
  <c r="D280" i="1" l="1"/>
  <c r="C280" i="1" s="1"/>
  <c r="F280" i="1"/>
  <c r="D281" i="1" l="1"/>
  <c r="C281" i="1" s="1"/>
  <c r="F281" i="1" s="1"/>
  <c r="D282" i="1" l="1"/>
  <c r="C282" i="1" s="1"/>
  <c r="F282" i="1" s="1"/>
  <c r="D283" i="1" l="1"/>
  <c r="C283" i="1" s="1"/>
  <c r="F283" i="1" s="1"/>
  <c r="D284" i="1" l="1"/>
  <c r="C284" i="1" s="1"/>
  <c r="F284" i="1" s="1"/>
  <c r="D285" i="1" l="1"/>
  <c r="C285" i="1" s="1"/>
  <c r="F285" i="1"/>
  <c r="D286" i="1" l="1"/>
  <c r="C286" i="1" s="1"/>
  <c r="F286" i="1" s="1"/>
  <c r="D287" i="1" l="1"/>
  <c r="C287" i="1" s="1"/>
  <c r="F287" i="1"/>
  <c r="D288" i="1" l="1"/>
  <c r="C288" i="1" s="1"/>
  <c r="F288" i="1" s="1"/>
  <c r="D289" i="1" l="1"/>
  <c r="C289" i="1" s="1"/>
  <c r="F289" i="1" s="1"/>
  <c r="D290" i="1" l="1"/>
  <c r="C290" i="1" s="1"/>
  <c r="F290" i="1"/>
  <c r="D291" i="1" l="1"/>
  <c r="C291" i="1" s="1"/>
  <c r="F291" i="1"/>
  <c r="D292" i="1" l="1"/>
  <c r="C292" i="1" s="1"/>
  <c r="F292" i="1" s="1"/>
  <c r="D293" i="1" l="1"/>
  <c r="C293" i="1" s="1"/>
  <c r="F293" i="1"/>
  <c r="D294" i="1" l="1"/>
  <c r="C294" i="1" s="1"/>
  <c r="F294" i="1" s="1"/>
  <c r="D295" i="1" l="1"/>
  <c r="C295" i="1" s="1"/>
  <c r="F295" i="1" s="1"/>
  <c r="D296" i="1" l="1"/>
  <c r="C296" i="1" s="1"/>
  <c r="F296" i="1" s="1"/>
  <c r="D297" i="1" l="1"/>
  <c r="C297" i="1" s="1"/>
  <c r="F297" i="1"/>
  <c r="D298" i="1" l="1"/>
  <c r="C298" i="1" s="1"/>
  <c r="F298" i="1" s="1"/>
  <c r="D299" i="1" l="1"/>
  <c r="C299" i="1" s="1"/>
  <c r="F299" i="1" s="1"/>
  <c r="D300" i="1" l="1"/>
  <c r="C300" i="1" s="1"/>
  <c r="F300" i="1" s="1"/>
  <c r="D301" i="1" l="1"/>
  <c r="C301" i="1" s="1"/>
  <c r="F301" i="1"/>
  <c r="D302" i="1" l="1"/>
  <c r="C302" i="1" s="1"/>
  <c r="F302" i="1" s="1"/>
  <c r="D303" i="1" l="1"/>
  <c r="C303" i="1" s="1"/>
  <c r="F303" i="1" s="1"/>
  <c r="D304" i="1" l="1"/>
  <c r="C304" i="1" s="1"/>
  <c r="F304" i="1"/>
  <c r="D305" i="1" l="1"/>
  <c r="C305" i="1" s="1"/>
  <c r="F305" i="1" s="1"/>
  <c r="D306" i="1" l="1"/>
  <c r="C306" i="1" s="1"/>
  <c r="F306" i="1" s="1"/>
  <c r="D307" i="1" l="1"/>
  <c r="C307" i="1" s="1"/>
  <c r="F307" i="1"/>
  <c r="D308" i="1" l="1"/>
  <c r="C308" i="1" s="1"/>
  <c r="F308" i="1"/>
  <c r="D309" i="1" l="1"/>
  <c r="C309" i="1" s="1"/>
  <c r="F309" i="1" s="1"/>
  <c r="D310" i="1" l="1"/>
  <c r="C310" i="1" s="1"/>
  <c r="F310" i="1" s="1"/>
  <c r="D311" i="1" l="1"/>
  <c r="C311" i="1" s="1"/>
  <c r="F311" i="1"/>
  <c r="D312" i="1" l="1"/>
  <c r="C312" i="1" s="1"/>
  <c r="F312" i="1"/>
  <c r="D313" i="1" l="1"/>
  <c r="C313" i="1" s="1"/>
  <c r="F313" i="1" s="1"/>
  <c r="D314" i="1" l="1"/>
  <c r="C314" i="1" s="1"/>
  <c r="F314" i="1"/>
  <c r="D315" i="1" l="1"/>
  <c r="C315" i="1" s="1"/>
  <c r="F315" i="1" s="1"/>
  <c r="D316" i="1" l="1"/>
  <c r="C316" i="1" s="1"/>
  <c r="F316" i="1" s="1"/>
  <c r="D317" i="1" l="1"/>
  <c r="C317" i="1" s="1"/>
  <c r="F317" i="1" s="1"/>
  <c r="D318" i="1" l="1"/>
  <c r="C318" i="1" s="1"/>
  <c r="F318" i="1"/>
  <c r="D319" i="1" l="1"/>
  <c r="C319" i="1" s="1"/>
  <c r="F319" i="1" s="1"/>
  <c r="D320" i="1" l="1"/>
  <c r="C320" i="1" s="1"/>
  <c r="F320" i="1" s="1"/>
  <c r="D321" i="1" l="1"/>
  <c r="C321" i="1" s="1"/>
  <c r="F321" i="1" s="1"/>
  <c r="D322" i="1" l="1"/>
  <c r="C322" i="1" s="1"/>
  <c r="F322" i="1"/>
  <c r="D323" i="1" l="1"/>
  <c r="C323" i="1" s="1"/>
  <c r="F323" i="1" s="1"/>
  <c r="D324" i="1" l="1"/>
  <c r="C324" i="1" s="1"/>
  <c r="F324" i="1" s="1"/>
  <c r="D325" i="1" l="1"/>
  <c r="C325" i="1" s="1"/>
  <c r="F325" i="1" s="1"/>
  <c r="D326" i="1" l="1"/>
  <c r="C326" i="1" s="1"/>
  <c r="F326" i="1" s="1"/>
  <c r="D327" i="1" l="1"/>
  <c r="C327" i="1" s="1"/>
  <c r="F327" i="1" s="1"/>
  <c r="D328" i="1" l="1"/>
  <c r="C328" i="1" s="1"/>
  <c r="F328" i="1" s="1"/>
  <c r="D329" i="1" l="1"/>
  <c r="C329" i="1" s="1"/>
  <c r="F329" i="1" s="1"/>
  <c r="D330" i="1" l="1"/>
  <c r="C330" i="1" s="1"/>
  <c r="F330" i="1"/>
  <c r="D331" i="1" l="1"/>
  <c r="C331" i="1" s="1"/>
  <c r="F331" i="1" s="1"/>
  <c r="D332" i="1" l="1"/>
  <c r="C332" i="1" s="1"/>
  <c r="F332" i="1" s="1"/>
  <c r="D333" i="1" l="1"/>
  <c r="C333" i="1" s="1"/>
  <c r="F333" i="1" s="1"/>
  <c r="D334" i="1" l="1"/>
  <c r="C334" i="1" s="1"/>
  <c r="F334" i="1"/>
  <c r="D335" i="1" l="1"/>
  <c r="C335" i="1" s="1"/>
  <c r="F335" i="1"/>
  <c r="D336" i="1" l="1"/>
  <c r="C336" i="1" s="1"/>
  <c r="F336" i="1"/>
  <c r="D337" i="1" l="1"/>
  <c r="C337" i="1" s="1"/>
  <c r="F337" i="1" s="1"/>
  <c r="D338" i="1" l="1"/>
  <c r="C338" i="1" s="1"/>
  <c r="F338" i="1" s="1"/>
  <c r="D339" i="1" l="1"/>
  <c r="C339" i="1" s="1"/>
  <c r="F339" i="1" s="1"/>
  <c r="D340" i="1" l="1"/>
  <c r="C340" i="1" s="1"/>
  <c r="F340" i="1"/>
  <c r="D341" i="1" l="1"/>
  <c r="C341" i="1" s="1"/>
  <c r="F341" i="1" s="1"/>
  <c r="D342" i="1" l="1"/>
  <c r="C342" i="1" s="1"/>
  <c r="F342" i="1" s="1"/>
  <c r="D343" i="1" l="1"/>
  <c r="C343" i="1" s="1"/>
  <c r="F343" i="1" s="1"/>
  <c r="D344" i="1" l="1"/>
  <c r="C344" i="1" s="1"/>
  <c r="F344" i="1" s="1"/>
  <c r="D345" i="1" l="1"/>
  <c r="C345" i="1" s="1"/>
  <c r="F345" i="1" s="1"/>
  <c r="D346" i="1" l="1"/>
  <c r="C346" i="1" s="1"/>
  <c r="F346" i="1" s="1"/>
  <c r="D347" i="1" l="1"/>
  <c r="C347" i="1" s="1"/>
  <c r="F347" i="1" s="1"/>
  <c r="D348" i="1" l="1"/>
  <c r="C348" i="1" s="1"/>
  <c r="F348" i="1" s="1"/>
  <c r="D349" i="1" l="1"/>
  <c r="C349" i="1" s="1"/>
  <c r="F349" i="1" s="1"/>
  <c r="D350" i="1" l="1"/>
  <c r="C350" i="1" s="1"/>
  <c r="F350" i="1" s="1"/>
  <c r="D351" i="1" l="1"/>
  <c r="C351" i="1" s="1"/>
  <c r="F351" i="1"/>
  <c r="D352" i="1" l="1"/>
  <c r="C352" i="1" s="1"/>
  <c r="F352" i="1" s="1"/>
  <c r="D353" i="1" l="1"/>
  <c r="C353" i="1" s="1"/>
  <c r="F353" i="1"/>
  <c r="D354" i="1" l="1"/>
  <c r="C354" i="1" s="1"/>
  <c r="F354" i="1" s="1"/>
  <c r="D355" i="1" l="1"/>
  <c r="C355" i="1" s="1"/>
  <c r="F355" i="1" s="1"/>
  <c r="D356" i="1" l="1"/>
  <c r="C356" i="1" s="1"/>
  <c r="F356" i="1" s="1"/>
  <c r="D357" i="1" l="1"/>
  <c r="C357" i="1" s="1"/>
  <c r="F357" i="1" s="1"/>
  <c r="D358" i="1" l="1"/>
  <c r="C358" i="1" s="1"/>
  <c r="F358" i="1" s="1"/>
  <c r="D359" i="1" l="1"/>
  <c r="C359" i="1" s="1"/>
  <c r="F359" i="1" s="1"/>
  <c r="D360" i="1" l="1"/>
  <c r="C360" i="1" s="1"/>
  <c r="F360" i="1" s="1"/>
  <c r="D361" i="1" l="1"/>
  <c r="C361" i="1" s="1"/>
  <c r="F361" i="1"/>
  <c r="D362" i="1" l="1"/>
  <c r="C362" i="1" s="1"/>
  <c r="F362" i="1" s="1"/>
  <c r="D363" i="1" l="1"/>
  <c r="C363" i="1" s="1"/>
  <c r="F363" i="1" s="1"/>
  <c r="D364" i="1" l="1"/>
  <c r="C364" i="1" s="1"/>
  <c r="F364" i="1" s="1"/>
  <c r="F6" i="3" l="1"/>
  <c r="D7" i="3" l="1"/>
  <c r="C7" i="3" s="1"/>
  <c r="F7" i="3" s="1"/>
  <c r="D8" i="3" l="1"/>
  <c r="C8" i="3" s="1"/>
  <c r="F8" i="3" s="1"/>
  <c r="D9" i="3" l="1"/>
  <c r="C9" i="3" s="1"/>
  <c r="F9" i="3"/>
  <c r="D10" i="3" l="1"/>
  <c r="C10" i="3" s="1"/>
  <c r="F10" i="3"/>
  <c r="D11" i="3" l="1"/>
  <c r="C11" i="3" s="1"/>
  <c r="F11" i="3" s="1"/>
  <c r="D12" i="3" l="1"/>
  <c r="C12" i="3" s="1"/>
  <c r="F12" i="3" s="1"/>
  <c r="D13" i="3" l="1"/>
  <c r="C13" i="3" s="1"/>
  <c r="F13" i="3" s="1"/>
  <c r="D14" i="3" l="1"/>
  <c r="C14" i="3" s="1"/>
  <c r="F14" i="3"/>
  <c r="D15" i="3" l="1"/>
  <c r="C15" i="3" s="1"/>
  <c r="F15" i="3"/>
  <c r="D16" i="3" l="1"/>
  <c r="C16" i="3" s="1"/>
  <c r="F16" i="3" s="1"/>
  <c r="D17" i="3" l="1"/>
  <c r="C17" i="3" s="1"/>
  <c r="F17" i="3" s="1"/>
  <c r="D18" i="3" l="1"/>
  <c r="C18" i="3" s="1"/>
  <c r="F18" i="3" s="1"/>
  <c r="D19" i="3" l="1"/>
  <c r="C19" i="3" s="1"/>
  <c r="F19" i="3"/>
  <c r="D20" i="3" l="1"/>
  <c r="C20" i="3" s="1"/>
  <c r="F20" i="3" s="1"/>
  <c r="D21" i="3" l="1"/>
  <c r="C21" i="3" s="1"/>
  <c r="F21" i="3" s="1"/>
  <c r="D22" i="3" l="1"/>
  <c r="C22" i="3" s="1"/>
  <c r="F22" i="3" s="1"/>
  <c r="D23" i="3" l="1"/>
  <c r="C23" i="3" s="1"/>
  <c r="F23" i="3" s="1"/>
  <c r="D24" i="3" l="1"/>
  <c r="C24" i="3" s="1"/>
  <c r="F24" i="3" s="1"/>
  <c r="D25" i="3" l="1"/>
  <c r="C25" i="3" s="1"/>
  <c r="F25" i="3"/>
  <c r="D26" i="3" l="1"/>
  <c r="C26" i="3" s="1"/>
  <c r="F26" i="3" s="1"/>
  <c r="D27" i="3" l="1"/>
  <c r="C27" i="3" s="1"/>
  <c r="F27" i="3" s="1"/>
  <c r="D28" i="3" l="1"/>
  <c r="C28" i="3" s="1"/>
  <c r="F28" i="3" s="1"/>
  <c r="D29" i="3" l="1"/>
  <c r="C29" i="3" s="1"/>
  <c r="F29" i="3" s="1"/>
  <c r="D30" i="3" l="1"/>
  <c r="C30" i="3" s="1"/>
  <c r="F30" i="3" s="1"/>
  <c r="D31" i="3" l="1"/>
  <c r="C31" i="3" s="1"/>
  <c r="F31" i="3" s="1"/>
  <c r="D32" i="3" l="1"/>
  <c r="C32" i="3" s="1"/>
  <c r="F32" i="3" s="1"/>
  <c r="D33" i="3" l="1"/>
  <c r="C33" i="3" s="1"/>
  <c r="F33" i="3" s="1"/>
  <c r="D34" i="3" l="1"/>
  <c r="C34" i="3" s="1"/>
  <c r="F34" i="3" s="1"/>
  <c r="D35" i="3" l="1"/>
  <c r="C35" i="3" s="1"/>
  <c r="F35" i="3" s="1"/>
  <c r="D36" i="3" l="1"/>
  <c r="C36" i="3" s="1"/>
  <c r="F36" i="3"/>
  <c r="D37" i="3" l="1"/>
  <c r="C37" i="3" s="1"/>
  <c r="F37" i="3" s="1"/>
  <c r="D38" i="3" l="1"/>
  <c r="C38" i="3" s="1"/>
  <c r="F38" i="3" s="1"/>
  <c r="D39" i="3" l="1"/>
  <c r="C39" i="3" s="1"/>
  <c r="F39" i="3" s="1"/>
  <c r="D40" i="3" l="1"/>
  <c r="C40" i="3" s="1"/>
  <c r="F40" i="3"/>
  <c r="D41" i="3" l="1"/>
  <c r="C41" i="3" s="1"/>
  <c r="F41" i="3"/>
  <c r="D42" i="3" l="1"/>
  <c r="C42" i="3" s="1"/>
  <c r="F42" i="3" s="1"/>
  <c r="D43" i="3" l="1"/>
  <c r="C43" i="3" s="1"/>
  <c r="F43" i="3" s="1"/>
  <c r="D44" i="3" l="1"/>
  <c r="C44" i="3" s="1"/>
  <c r="F44" i="3" s="1"/>
  <c r="D45" i="3" l="1"/>
  <c r="C45" i="3" s="1"/>
  <c r="F45" i="3" s="1"/>
  <c r="D46" i="3" l="1"/>
  <c r="C46" i="3" s="1"/>
  <c r="F46" i="3"/>
  <c r="D47" i="3" l="1"/>
  <c r="C47" i="3" s="1"/>
  <c r="F47" i="3"/>
  <c r="D48" i="3" l="1"/>
  <c r="C48" i="3" s="1"/>
  <c r="F48" i="3" s="1"/>
  <c r="D49" i="3" l="1"/>
  <c r="C49" i="3" s="1"/>
  <c r="F49" i="3" s="1"/>
  <c r="D50" i="3" l="1"/>
  <c r="C50" i="3" s="1"/>
  <c r="F50" i="3" s="1"/>
  <c r="D51" i="3" l="1"/>
  <c r="C51" i="3" s="1"/>
  <c r="F51" i="3" s="1"/>
  <c r="D52" i="3" l="1"/>
  <c r="C52" i="3" s="1"/>
  <c r="F52" i="3" s="1"/>
  <c r="D53" i="3" l="1"/>
  <c r="C53" i="3" s="1"/>
  <c r="F53" i="3" s="1"/>
  <c r="D54" i="3" l="1"/>
  <c r="C54" i="3" s="1"/>
  <c r="F54" i="3" s="1"/>
  <c r="D55" i="3" l="1"/>
  <c r="C55" i="3" s="1"/>
  <c r="F55" i="3" s="1"/>
  <c r="D56" i="3" l="1"/>
  <c r="C56" i="3" s="1"/>
  <c r="F56" i="3"/>
  <c r="D57" i="3" l="1"/>
  <c r="C57" i="3" s="1"/>
  <c r="F57" i="3"/>
  <c r="D58" i="3" l="1"/>
  <c r="C58" i="3" s="1"/>
  <c r="F58" i="3" s="1"/>
  <c r="D59" i="3" l="1"/>
  <c r="C59" i="3" s="1"/>
  <c r="F59" i="3" s="1"/>
  <c r="D60" i="3" l="1"/>
  <c r="C60" i="3" s="1"/>
  <c r="F60" i="3" s="1"/>
  <c r="D61" i="3" l="1"/>
  <c r="C61" i="3" s="1"/>
  <c r="F61" i="3" s="1"/>
  <c r="D62" i="3" l="1"/>
  <c r="C62" i="3" s="1"/>
  <c r="F62" i="3" s="1"/>
  <c r="D63" i="3" l="1"/>
  <c r="C63" i="3" s="1"/>
  <c r="F63" i="3"/>
  <c r="D64" i="3" l="1"/>
  <c r="C64" i="3" s="1"/>
  <c r="F64" i="3" s="1"/>
  <c r="D65" i="3" l="1"/>
  <c r="C65" i="3" s="1"/>
  <c r="F65" i="3" s="1"/>
  <c r="D66" i="3" l="1"/>
  <c r="C66" i="3" s="1"/>
  <c r="F66" i="3" s="1"/>
  <c r="D67" i="3" l="1"/>
  <c r="C67" i="3" s="1"/>
  <c r="F67" i="3"/>
  <c r="D68" i="3" l="1"/>
  <c r="C68" i="3" s="1"/>
  <c r="F68" i="3" s="1"/>
  <c r="D69" i="3" l="1"/>
  <c r="C69" i="3" s="1"/>
  <c r="F69" i="3" s="1"/>
  <c r="D70" i="3" l="1"/>
  <c r="C70" i="3" s="1"/>
  <c r="F70" i="3" s="1"/>
  <c r="D71" i="3" l="1"/>
  <c r="C71" i="3" s="1"/>
  <c r="F71" i="3" s="1"/>
  <c r="D72" i="3" l="1"/>
  <c r="C72" i="3" s="1"/>
  <c r="F72" i="3" s="1"/>
  <c r="D73" i="3" l="1"/>
  <c r="C73" i="3" s="1"/>
  <c r="F73" i="3"/>
  <c r="D74" i="3" l="1"/>
  <c r="C74" i="3" s="1"/>
  <c r="F74" i="3" s="1"/>
  <c r="D75" i="3" l="1"/>
  <c r="C75" i="3" s="1"/>
  <c r="F75" i="3" s="1"/>
  <c r="D76" i="3" l="1"/>
  <c r="C76" i="3" s="1"/>
  <c r="F76" i="3" s="1"/>
  <c r="D77" i="3" l="1"/>
  <c r="C77" i="3" s="1"/>
  <c r="F77" i="3" s="1"/>
  <c r="D78" i="3" l="1"/>
  <c r="C78" i="3" s="1"/>
  <c r="F78" i="3" s="1"/>
  <c r="D79" i="3" l="1"/>
  <c r="C79" i="3" s="1"/>
  <c r="F79" i="3"/>
  <c r="D80" i="3" l="1"/>
  <c r="C80" i="3" s="1"/>
  <c r="F80" i="3" s="1"/>
  <c r="D81" i="3" l="1"/>
  <c r="C81" i="3" s="1"/>
  <c r="F81" i="3" s="1"/>
  <c r="D82" i="3" l="1"/>
  <c r="C82" i="3" s="1"/>
  <c r="F82" i="3" s="1"/>
  <c r="D83" i="3" l="1"/>
  <c r="C83" i="3" s="1"/>
  <c r="F83" i="3" s="1"/>
  <c r="D84" i="3" l="1"/>
  <c r="C84" i="3" s="1"/>
  <c r="F84" i="3" s="1"/>
  <c r="D85" i="3" l="1"/>
  <c r="C85" i="3" s="1"/>
  <c r="F85" i="3" s="1"/>
  <c r="D86" i="3" l="1"/>
  <c r="C86" i="3" s="1"/>
  <c r="F86" i="3" s="1"/>
  <c r="D87" i="3" l="1"/>
  <c r="C87" i="3" s="1"/>
  <c r="F87" i="3" s="1"/>
  <c r="D88" i="3" l="1"/>
  <c r="C88" i="3" s="1"/>
  <c r="F88" i="3"/>
  <c r="D89" i="3" l="1"/>
  <c r="C89" i="3" s="1"/>
  <c r="F89" i="3" s="1"/>
  <c r="D90" i="3" l="1"/>
  <c r="C90" i="3" s="1"/>
  <c r="F90" i="3" s="1"/>
  <c r="D91" i="3" l="1"/>
  <c r="C91" i="3" s="1"/>
  <c r="F91" i="3" s="1"/>
  <c r="D92" i="3" l="1"/>
  <c r="C92" i="3" s="1"/>
  <c r="F92" i="3" s="1"/>
  <c r="D93" i="3" l="1"/>
  <c r="C93" i="3" s="1"/>
  <c r="F93" i="3" s="1"/>
  <c r="D94" i="3" l="1"/>
  <c r="C94" i="3" s="1"/>
  <c r="F94" i="3" s="1"/>
  <c r="D95" i="3" l="1"/>
  <c r="C95" i="3" s="1"/>
  <c r="F95" i="3" s="1"/>
  <c r="D96" i="3" l="1"/>
  <c r="C96" i="3" s="1"/>
  <c r="F96" i="3" s="1"/>
  <c r="D97" i="3" l="1"/>
  <c r="C97" i="3" s="1"/>
  <c r="F97" i="3" s="1"/>
  <c r="D98" i="3" l="1"/>
  <c r="C98" i="3" s="1"/>
  <c r="F98" i="3" s="1"/>
  <c r="D99" i="3" l="1"/>
  <c r="C99" i="3" s="1"/>
  <c r="F99" i="3" s="1"/>
  <c r="D100" i="3" l="1"/>
  <c r="C100" i="3" s="1"/>
  <c r="F100" i="3" s="1"/>
  <c r="D101" i="3" l="1"/>
  <c r="C101" i="3" s="1"/>
  <c r="F101" i="3" s="1"/>
  <c r="D102" i="3" l="1"/>
  <c r="C102" i="3" s="1"/>
  <c r="F102" i="3" s="1"/>
  <c r="D103" i="3" l="1"/>
  <c r="C103" i="3" s="1"/>
  <c r="F103" i="3" s="1"/>
  <c r="D104" i="3" l="1"/>
  <c r="C104" i="3" s="1"/>
  <c r="F104" i="3" s="1"/>
  <c r="D105" i="3" l="1"/>
  <c r="C105" i="3" s="1"/>
  <c r="F105" i="3"/>
  <c r="D106" i="3" l="1"/>
  <c r="C106" i="3" s="1"/>
  <c r="F106" i="3" s="1"/>
  <c r="D107" i="3" l="1"/>
  <c r="C107" i="3" s="1"/>
  <c r="F107" i="3" s="1"/>
  <c r="D108" i="3" l="1"/>
  <c r="C108" i="3" s="1"/>
  <c r="F108" i="3" s="1"/>
  <c r="D109" i="3" l="1"/>
  <c r="C109" i="3" s="1"/>
  <c r="F109" i="3" s="1"/>
  <c r="D110" i="3" l="1"/>
  <c r="C110" i="3" s="1"/>
  <c r="F110" i="3" s="1"/>
  <c r="D111" i="3" l="1"/>
  <c r="C111" i="3" s="1"/>
  <c r="F111" i="3" s="1"/>
  <c r="D112" i="3" l="1"/>
  <c r="C112" i="3" s="1"/>
  <c r="F112" i="3" s="1"/>
  <c r="D113" i="3" l="1"/>
  <c r="C113" i="3" s="1"/>
  <c r="F113" i="3" s="1"/>
  <c r="D114" i="3" l="1"/>
  <c r="C114" i="3" s="1"/>
  <c r="F114" i="3" s="1"/>
  <c r="D115" i="3" l="1"/>
  <c r="C115" i="3" s="1"/>
  <c r="F115" i="3" s="1"/>
  <c r="D116" i="3" l="1"/>
  <c r="C116" i="3" s="1"/>
  <c r="F116" i="3" s="1"/>
  <c r="D117" i="3" l="1"/>
  <c r="C117" i="3" s="1"/>
  <c r="F117" i="3" s="1"/>
  <c r="D118" i="3" l="1"/>
  <c r="C118" i="3" s="1"/>
  <c r="F118" i="3" s="1"/>
  <c r="D119" i="3" l="1"/>
  <c r="C119" i="3" s="1"/>
  <c r="F119" i="3" s="1"/>
  <c r="D120" i="3" l="1"/>
  <c r="C120" i="3" s="1"/>
  <c r="F120" i="3"/>
  <c r="D121" i="3" l="1"/>
  <c r="C121" i="3" s="1"/>
  <c r="F121" i="3" s="1"/>
  <c r="D122" i="3" l="1"/>
  <c r="C122" i="3" s="1"/>
  <c r="F122" i="3" s="1"/>
  <c r="D123" i="3" l="1"/>
  <c r="C123" i="3" s="1"/>
  <c r="F123" i="3" s="1"/>
  <c r="D124" i="3" l="1"/>
  <c r="C124" i="3" s="1"/>
  <c r="F124" i="3" s="1"/>
  <c r="D125" i="3" l="1"/>
  <c r="C125" i="3" s="1"/>
  <c r="F125" i="3" s="1"/>
  <c r="D126" i="3" l="1"/>
  <c r="C126" i="3" s="1"/>
  <c r="F126" i="3" s="1"/>
  <c r="D127" i="3" l="1"/>
  <c r="C127" i="3" s="1"/>
  <c r="F127" i="3" s="1"/>
  <c r="D128" i="3" l="1"/>
  <c r="C128" i="3" s="1"/>
  <c r="F128" i="3" s="1"/>
  <c r="D129" i="3" l="1"/>
  <c r="C129" i="3" s="1"/>
  <c r="F129" i="3" s="1"/>
  <c r="D130" i="3" l="1"/>
  <c r="C130" i="3" s="1"/>
  <c r="F130" i="3" s="1"/>
  <c r="D131" i="3" l="1"/>
  <c r="C131" i="3" s="1"/>
  <c r="F131" i="3" s="1"/>
  <c r="D132" i="3" l="1"/>
  <c r="C132" i="3" s="1"/>
  <c r="F132" i="3" s="1"/>
  <c r="D133" i="3" l="1"/>
  <c r="C133" i="3" s="1"/>
  <c r="F133" i="3" s="1"/>
  <c r="D134" i="3" l="1"/>
  <c r="C134" i="3" s="1"/>
  <c r="F134" i="3" s="1"/>
  <c r="D135" i="3" l="1"/>
  <c r="C135" i="3" s="1"/>
  <c r="F135" i="3" s="1"/>
  <c r="D136" i="3" l="1"/>
  <c r="C136" i="3" s="1"/>
  <c r="F136" i="3" s="1"/>
  <c r="D137" i="3" l="1"/>
  <c r="C137" i="3" s="1"/>
  <c r="F137" i="3"/>
  <c r="D138" i="3" l="1"/>
  <c r="C138" i="3" s="1"/>
  <c r="F138" i="3" s="1"/>
  <c r="D139" i="3" l="1"/>
  <c r="C139" i="3" s="1"/>
  <c r="F139" i="3" s="1"/>
  <c r="D140" i="3" l="1"/>
  <c r="C140" i="3" s="1"/>
  <c r="F140" i="3" s="1"/>
  <c r="D141" i="3" l="1"/>
  <c r="C141" i="3" s="1"/>
  <c r="F141" i="3" s="1"/>
  <c r="D142" i="3" l="1"/>
  <c r="C142" i="3" s="1"/>
  <c r="F142" i="3"/>
  <c r="D143" i="3" l="1"/>
  <c r="C143" i="3" s="1"/>
  <c r="F143" i="3" s="1"/>
  <c r="D144" i="3" l="1"/>
  <c r="C144" i="3" s="1"/>
  <c r="F144" i="3" s="1"/>
  <c r="D145" i="3" l="1"/>
  <c r="C145" i="3" s="1"/>
  <c r="F145" i="3" s="1"/>
  <c r="D146" i="3" l="1"/>
  <c r="C146" i="3" s="1"/>
  <c r="F146" i="3" s="1"/>
  <c r="D147" i="3" l="1"/>
  <c r="C147" i="3" s="1"/>
  <c r="F147" i="3"/>
  <c r="D148" i="3" l="1"/>
  <c r="C148" i="3" s="1"/>
  <c r="F148" i="3" s="1"/>
  <c r="D149" i="3" l="1"/>
  <c r="C149" i="3" s="1"/>
  <c r="F149" i="3" s="1"/>
  <c r="D150" i="3" l="1"/>
  <c r="C150" i="3" s="1"/>
  <c r="F150" i="3" s="1"/>
  <c r="D151" i="3" l="1"/>
  <c r="C151" i="3" s="1"/>
  <c r="F151" i="3" s="1"/>
  <c r="D152" i="3" l="1"/>
  <c r="C152" i="3" s="1"/>
  <c r="F152" i="3" s="1"/>
  <c r="D153" i="3" l="1"/>
  <c r="C153" i="3" s="1"/>
  <c r="F153" i="3" s="1"/>
  <c r="D154" i="3" l="1"/>
  <c r="C154" i="3" s="1"/>
  <c r="F154" i="3" s="1"/>
  <c r="D155" i="3" l="1"/>
  <c r="C155" i="3" s="1"/>
  <c r="F155" i="3" s="1"/>
  <c r="D156" i="3" l="1"/>
  <c r="C156" i="3" s="1"/>
  <c r="F156" i="3" s="1"/>
  <c r="D157" i="3" l="1"/>
  <c r="C157" i="3" s="1"/>
  <c r="F157" i="3" s="1"/>
  <c r="D158" i="3" l="1"/>
  <c r="C158" i="3" s="1"/>
  <c r="F158" i="3" s="1"/>
  <c r="D159" i="3" l="1"/>
  <c r="C159" i="3" s="1"/>
  <c r="F159" i="3" s="1"/>
  <c r="D160" i="3" l="1"/>
  <c r="C160" i="3" s="1"/>
  <c r="F160" i="3" s="1"/>
  <c r="D161" i="3" l="1"/>
  <c r="C161" i="3" s="1"/>
  <c r="F161" i="3" s="1"/>
  <c r="D162" i="3" l="1"/>
  <c r="C162" i="3" s="1"/>
  <c r="F162" i="3" s="1"/>
  <c r="D163" i="3" l="1"/>
  <c r="C163" i="3" s="1"/>
  <c r="F163" i="3"/>
  <c r="D164" i="3" l="1"/>
  <c r="C164" i="3" s="1"/>
  <c r="F164" i="3" s="1"/>
  <c r="D165" i="3" l="1"/>
  <c r="C165" i="3" s="1"/>
  <c r="F165" i="3" s="1"/>
  <c r="D166" i="3" l="1"/>
  <c r="C166" i="3" s="1"/>
  <c r="F166" i="3" s="1"/>
  <c r="D167" i="3" l="1"/>
  <c r="C167" i="3" s="1"/>
  <c r="F167" i="3" s="1"/>
  <c r="D168" i="3" l="1"/>
  <c r="C168" i="3" s="1"/>
  <c r="F168" i="3"/>
  <c r="D169" i="3" l="1"/>
  <c r="C169" i="3" s="1"/>
  <c r="F169" i="3"/>
  <c r="D170" i="3" l="1"/>
  <c r="C170" i="3" s="1"/>
  <c r="F170" i="3" s="1"/>
  <c r="D171" i="3" l="1"/>
  <c r="C171" i="3" s="1"/>
  <c r="F171" i="3" s="1"/>
  <c r="D172" i="3" l="1"/>
  <c r="C172" i="3" s="1"/>
  <c r="F172" i="3" s="1"/>
  <c r="D173" i="3" l="1"/>
  <c r="C173" i="3" s="1"/>
  <c r="F173" i="3" s="1"/>
  <c r="D174" i="3" l="1"/>
  <c r="C174" i="3" s="1"/>
  <c r="F174" i="3" s="1"/>
  <c r="D175" i="3" l="1"/>
  <c r="C175" i="3" s="1"/>
  <c r="F175" i="3" s="1"/>
  <c r="D176" i="3" l="1"/>
  <c r="C176" i="3" s="1"/>
  <c r="F176" i="3" s="1"/>
  <c r="D177" i="3" l="1"/>
  <c r="C177" i="3" s="1"/>
  <c r="F177" i="3" s="1"/>
  <c r="D178" i="3" l="1"/>
  <c r="C178" i="3" s="1"/>
  <c r="F178" i="3" s="1"/>
  <c r="D179" i="3" l="1"/>
  <c r="C179" i="3" s="1"/>
  <c r="F179" i="3"/>
  <c r="D180" i="3" l="1"/>
  <c r="C180" i="3" s="1"/>
  <c r="F180" i="3" s="1"/>
  <c r="D181" i="3" l="1"/>
  <c r="C181" i="3" s="1"/>
  <c r="F181" i="3" s="1"/>
  <c r="D182" i="3" l="1"/>
  <c r="C182" i="3" s="1"/>
  <c r="F182" i="3" s="1"/>
  <c r="D183" i="3" l="1"/>
  <c r="C183" i="3" s="1"/>
  <c r="F183" i="3" s="1"/>
  <c r="D184" i="3" l="1"/>
  <c r="C184" i="3" s="1"/>
  <c r="F184" i="3"/>
  <c r="D185" i="3" l="1"/>
  <c r="C185" i="3" s="1"/>
  <c r="F185" i="3"/>
  <c r="D186" i="3" l="1"/>
  <c r="C186" i="3" s="1"/>
  <c r="F186" i="3" s="1"/>
  <c r="D187" i="3" l="1"/>
  <c r="C187" i="3" s="1"/>
  <c r="F187" i="3" s="1"/>
  <c r="D188" i="3" l="1"/>
  <c r="C188" i="3" s="1"/>
  <c r="F188" i="3" s="1"/>
  <c r="D189" i="3" l="1"/>
  <c r="C189" i="3" s="1"/>
  <c r="F189" i="3" s="1"/>
  <c r="D190" i="3" l="1"/>
  <c r="C190" i="3" s="1"/>
  <c r="F190" i="3"/>
  <c r="D191" i="3" l="1"/>
  <c r="C191" i="3" s="1"/>
  <c r="F191" i="3" s="1"/>
  <c r="D192" i="3" l="1"/>
  <c r="C192" i="3" s="1"/>
  <c r="F192" i="3" s="1"/>
  <c r="D193" i="3" l="1"/>
  <c r="C193" i="3" s="1"/>
  <c r="F193" i="3" s="1"/>
  <c r="D194" i="3" l="1"/>
  <c r="C194" i="3" s="1"/>
  <c r="F194" i="3" s="1"/>
  <c r="D195" i="3" l="1"/>
  <c r="C195" i="3" s="1"/>
  <c r="F195" i="3" s="1"/>
  <c r="D196" i="3" l="1"/>
  <c r="C196" i="3" s="1"/>
  <c r="F196" i="3" s="1"/>
  <c r="D197" i="3" l="1"/>
  <c r="C197" i="3" s="1"/>
  <c r="F197" i="3" s="1"/>
  <c r="D198" i="3" l="1"/>
  <c r="C198" i="3" s="1"/>
  <c r="F198" i="3" s="1"/>
  <c r="D199" i="3" l="1"/>
  <c r="C199" i="3" s="1"/>
  <c r="F199" i="3" s="1"/>
  <c r="D200" i="3" l="1"/>
  <c r="C200" i="3" s="1"/>
  <c r="F200" i="3"/>
  <c r="D201" i="3" l="1"/>
  <c r="C201" i="3" s="1"/>
  <c r="F201" i="3"/>
  <c r="D202" i="3" l="1"/>
  <c r="C202" i="3" s="1"/>
  <c r="F202" i="3" s="1"/>
  <c r="D203" i="3" l="1"/>
  <c r="C203" i="3" s="1"/>
  <c r="F203" i="3" s="1"/>
  <c r="D204" i="3" l="1"/>
  <c r="C204" i="3" s="1"/>
  <c r="F204" i="3" s="1"/>
  <c r="D205" i="3" l="1"/>
  <c r="C205" i="3" s="1"/>
  <c r="F205" i="3" s="1"/>
  <c r="D206" i="3" l="1"/>
  <c r="C206" i="3" s="1"/>
  <c r="F206" i="3" s="1"/>
  <c r="D207" i="3" l="1"/>
  <c r="C207" i="3" s="1"/>
  <c r="F207" i="3" s="1"/>
  <c r="D208" i="3" l="1"/>
  <c r="C208" i="3" s="1"/>
  <c r="F208" i="3" s="1"/>
  <c r="D209" i="3" l="1"/>
  <c r="C209" i="3" s="1"/>
  <c r="F209" i="3" s="1"/>
  <c r="D210" i="3" l="1"/>
  <c r="C210" i="3" s="1"/>
  <c r="F210" i="3" s="1"/>
  <c r="D211" i="3" l="1"/>
  <c r="C211" i="3" s="1"/>
  <c r="F211" i="3" s="1"/>
  <c r="D212" i="3" l="1"/>
  <c r="C212" i="3" s="1"/>
  <c r="F212" i="3" s="1"/>
  <c r="D213" i="3" l="1"/>
  <c r="C213" i="3" s="1"/>
  <c r="F213" i="3" s="1"/>
  <c r="D214" i="3" l="1"/>
  <c r="C214" i="3" s="1"/>
  <c r="F214" i="3" s="1"/>
  <c r="D215" i="3" l="1"/>
  <c r="C215" i="3" s="1"/>
  <c r="F215" i="3" s="1"/>
  <c r="D216" i="3" l="1"/>
  <c r="C216" i="3" s="1"/>
  <c r="F216" i="3"/>
  <c r="D217" i="3" l="1"/>
  <c r="C217" i="3" s="1"/>
  <c r="F217" i="3"/>
  <c r="D218" i="3" l="1"/>
  <c r="C218" i="3" s="1"/>
  <c r="F218" i="3" s="1"/>
  <c r="D219" i="3" l="1"/>
  <c r="C219" i="3" s="1"/>
  <c r="F219" i="3" s="1"/>
  <c r="D220" i="3" l="1"/>
  <c r="C220" i="3" s="1"/>
  <c r="F220" i="3" s="1"/>
  <c r="D221" i="3" l="1"/>
  <c r="C221" i="3" s="1"/>
  <c r="F221" i="3" s="1"/>
  <c r="D222" i="3" l="1"/>
  <c r="C222" i="3" s="1"/>
  <c r="F222" i="3"/>
  <c r="D223" i="3" l="1"/>
  <c r="C223" i="3" s="1"/>
  <c r="F223" i="3" s="1"/>
  <c r="D224" i="3" l="1"/>
  <c r="C224" i="3" s="1"/>
  <c r="F224" i="3" s="1"/>
  <c r="D225" i="3" l="1"/>
  <c r="C225" i="3" s="1"/>
  <c r="F225" i="3" s="1"/>
  <c r="D226" i="3" l="1"/>
  <c r="C226" i="3" s="1"/>
  <c r="F226" i="3" s="1"/>
  <c r="D227" i="3" l="1"/>
  <c r="C227" i="3" s="1"/>
  <c r="F227" i="3"/>
  <c r="D228" i="3" l="1"/>
  <c r="C228" i="3" s="1"/>
  <c r="F228" i="3" s="1"/>
  <c r="D229" i="3" l="1"/>
  <c r="C229" i="3" s="1"/>
  <c r="F229" i="3" s="1"/>
  <c r="D230" i="3" l="1"/>
  <c r="C230" i="3" s="1"/>
  <c r="F230" i="3" s="1"/>
</calcChain>
</file>

<file path=xl/sharedStrings.xml><?xml version="1.0" encoding="utf-8"?>
<sst xmlns="http://schemas.openxmlformats.org/spreadsheetml/2006/main" count="57" uniqueCount="29">
  <si>
    <t>capital 
prestado</t>
  </si>
  <si>
    <t>tipo de 
interes bonif</t>
  </si>
  <si>
    <t>cuota fija
anual:</t>
  </si>
  <si>
    <t>tipo de 
interes s/b</t>
  </si>
  <si>
    <t>duracion
prestamo
anos</t>
  </si>
  <si>
    <t>duracion
prestamo
meses</t>
  </si>
  <si>
    <t>recibos ptes</t>
  </si>
  <si>
    <t>vencimiento</t>
  </si>
  <si>
    <t>amortizacion</t>
  </si>
  <si>
    <t>intereses</t>
  </si>
  <si>
    <t>total</t>
  </si>
  <si>
    <t>capital pte</t>
  </si>
  <si>
    <t>TOTAL PAGADO</t>
  </si>
  <si>
    <t>pagado</t>
  </si>
  <si>
    <t>real</t>
  </si>
  <si>
    <t>pago</t>
  </si>
  <si>
    <t>concepto</t>
  </si>
  <si>
    <t>parte juan carlos</t>
  </si>
  <si>
    <t>parte jose mari</t>
  </si>
  <si>
    <t>parte trini</t>
  </si>
  <si>
    <t>impuestos compraventa (incluyendo impuesto extranjero jose mari)</t>
  </si>
  <si>
    <t>prestamo menos impuestos</t>
  </si>
  <si>
    <t>devolucion prestamo</t>
  </si>
  <si>
    <t>TOTAL</t>
  </si>
  <si>
    <t>parte papa</t>
  </si>
  <si>
    <t>impuestos donaciones papa</t>
  </si>
  <si>
    <t>ROUNDED</t>
  </si>
  <si>
    <t>donacion papa liquido</t>
  </si>
  <si>
    <t>donacion papa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</si>
</sst>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08DF-2D0F-4576-99CF-A0E928AD7DF2}">
  <dimension ref="B2:L15"/>
  <sheetViews>
    <sheetView workbookViewId="0">
      <selection activeCell="L14" sqref="L14"/>
    </sheetView>
  </sheetViews>
  <sheetFormatPr defaultRowHeight="14.4" x14ac:dyDescent="0.3"/>
  <cols>
    <col min="2" max="2" width="9.5546875" bestFit="1" customWidth="1"/>
  </cols>
  <sheetData>
    <row r="2" spans="2:12" x14ac:dyDescent="0.3">
      <c r="B2" t="s">
        <v>15</v>
      </c>
      <c r="C2" t="s">
        <v>16</v>
      </c>
    </row>
    <row r="3" spans="2:12" x14ac:dyDescent="0.3">
      <c r="B3">
        <v>58000</v>
      </c>
      <c r="C3" t="s">
        <v>17</v>
      </c>
      <c r="K3">
        <v>160000</v>
      </c>
      <c r="L3" t="s">
        <v>27</v>
      </c>
    </row>
    <row r="4" spans="2:12" x14ac:dyDescent="0.3">
      <c r="B4">
        <v>124160</v>
      </c>
      <c r="C4" t="s">
        <v>18</v>
      </c>
      <c r="K4">
        <v>128000</v>
      </c>
      <c r="L4" t="s">
        <v>28</v>
      </c>
    </row>
    <row r="5" spans="2:12" x14ac:dyDescent="0.3">
      <c r="B5">
        <v>128000</v>
      </c>
      <c r="C5" t="s">
        <v>19</v>
      </c>
    </row>
    <row r="6" spans="2:12" x14ac:dyDescent="0.3">
      <c r="B6">
        <v>128000</v>
      </c>
      <c r="C6" t="s">
        <v>24</v>
      </c>
    </row>
    <row r="7" spans="2:12" x14ac:dyDescent="0.3">
      <c r="B7">
        <f>100000-73570</f>
        <v>26430</v>
      </c>
      <c r="C7" t="s">
        <v>20</v>
      </c>
    </row>
    <row r="8" spans="2:12" x14ac:dyDescent="0.3">
      <c r="B8">
        <v>-73570</v>
      </c>
      <c r="C8" t="s">
        <v>21</v>
      </c>
    </row>
    <row r="9" spans="2:12" x14ac:dyDescent="0.3">
      <c r="B9" s="5">
        <f>amort1_29840!E233</f>
        <v>116259.53000000062</v>
      </c>
      <c r="C9" t="s">
        <v>22</v>
      </c>
    </row>
    <row r="10" spans="2:12" x14ac:dyDescent="0.3">
      <c r="B10">
        <v>1193</v>
      </c>
      <c r="C10" t="s">
        <v>25</v>
      </c>
    </row>
    <row r="12" spans="2:12" x14ac:dyDescent="0.3">
      <c r="B12" t="s">
        <v>23</v>
      </c>
    </row>
    <row r="13" spans="2:12" x14ac:dyDescent="0.3">
      <c r="B13">
        <f>SUM(B3:B9)</f>
        <v>507279.53000000061</v>
      </c>
    </row>
    <row r="14" spans="2:12" x14ac:dyDescent="0.3">
      <c r="B14" t="s">
        <v>26</v>
      </c>
    </row>
    <row r="15" spans="2:12" x14ac:dyDescent="0.3">
      <c r="B15">
        <f>ROUND(B13,-4)</f>
        <v>510000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7"/>
  <sheetViews>
    <sheetView topLeftCell="A343" workbookViewId="0">
      <selection activeCell="E367" sqref="E367"/>
    </sheetView>
  </sheetViews>
  <sheetFormatPr defaultRowHeight="14.4" x14ac:dyDescent="0.3"/>
  <cols>
    <col min="1" max="6" width="11.6640625" bestFit="1" customWidth="1"/>
  </cols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</row>
    <row r="2" spans="1:6" x14ac:dyDescent="0.3">
      <c r="A2">
        <v>100000</v>
      </c>
      <c r="B2">
        <v>2.3E-2</v>
      </c>
      <c r="C2">
        <v>385.55</v>
      </c>
      <c r="D2">
        <v>30</v>
      </c>
      <c r="E2">
        <v>359</v>
      </c>
      <c r="F2">
        <v>3.15E-2</v>
      </c>
    </row>
    <row r="4" spans="1:6" x14ac:dyDescent="0.3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">
      <c r="A5">
        <v>359</v>
      </c>
      <c r="B5" s="2">
        <v>46204</v>
      </c>
      <c r="C5">
        <v>0</v>
      </c>
      <c r="D5">
        <v>56.71</v>
      </c>
      <c r="E5">
        <v>56.71</v>
      </c>
      <c r="F5">
        <v>100000</v>
      </c>
    </row>
    <row r="6" spans="1:6" x14ac:dyDescent="0.3">
      <c r="A6">
        <f>A5-1</f>
        <v>358</v>
      </c>
      <c r="B6" s="2">
        <f>EDATE(B5,1)</f>
        <v>46235</v>
      </c>
      <c r="C6">
        <f>$C$2-D6</f>
        <v>193.88333333333335</v>
      </c>
      <c r="D6">
        <f>F5*$B$2/12</f>
        <v>191.66666666666666</v>
      </c>
      <c r="E6">
        <f>$C$2</f>
        <v>385.55</v>
      </c>
      <c r="F6">
        <f>F5-C6</f>
        <v>99806.116666666669</v>
      </c>
    </row>
    <row r="7" spans="1:6" x14ac:dyDescent="0.3">
      <c r="A7">
        <f t="shared" ref="A7:A70" si="0">A6-1</f>
        <v>357</v>
      </c>
      <c r="B7" s="2">
        <f>EDATE(B6,1)</f>
        <v>46266</v>
      </c>
      <c r="C7">
        <f>$C$2-D7</f>
        <v>194.25494305555557</v>
      </c>
      <c r="D7">
        <f>F6*$B$2/12</f>
        <v>191.29505694444444</v>
      </c>
      <c r="E7">
        <f>$C$2</f>
        <v>385.55</v>
      </c>
      <c r="F7">
        <f>F6-C7</f>
        <v>99611.861723611117</v>
      </c>
    </row>
    <row r="8" spans="1:6" x14ac:dyDescent="0.3">
      <c r="A8">
        <f t="shared" si="0"/>
        <v>356</v>
      </c>
      <c r="B8" s="2">
        <f t="shared" ref="B8:B71" si="1">EDATE(B7,1)</f>
        <v>46296</v>
      </c>
      <c r="C8">
        <f t="shared" ref="C8:C71" si="2">$C$2-D8</f>
        <v>194.62726502974539</v>
      </c>
      <c r="D8">
        <f t="shared" ref="D8:D71" si="3">F7*$B$2/12</f>
        <v>190.92273497025462</v>
      </c>
      <c r="E8">
        <f t="shared" ref="E8:E71" si="4">$C$2</f>
        <v>385.55</v>
      </c>
      <c r="F8">
        <f t="shared" ref="F8:F71" si="5">F7-C8</f>
        <v>99417.23445858137</v>
      </c>
    </row>
    <row r="9" spans="1:6" x14ac:dyDescent="0.3">
      <c r="A9">
        <f t="shared" si="0"/>
        <v>355</v>
      </c>
      <c r="B9" s="2">
        <f t="shared" si="1"/>
        <v>46327</v>
      </c>
      <c r="C9">
        <f t="shared" si="2"/>
        <v>195.00030062105239</v>
      </c>
      <c r="D9">
        <f t="shared" si="3"/>
        <v>190.54969937894762</v>
      </c>
      <c r="E9">
        <f t="shared" si="4"/>
        <v>385.55</v>
      </c>
      <c r="F9">
        <f t="shared" si="5"/>
        <v>99222.234157960324</v>
      </c>
    </row>
    <row r="10" spans="1:6" x14ac:dyDescent="0.3">
      <c r="A10">
        <f t="shared" si="0"/>
        <v>354</v>
      </c>
      <c r="B10" s="2">
        <f t="shared" si="1"/>
        <v>46357</v>
      </c>
      <c r="C10">
        <f t="shared" si="2"/>
        <v>195.37405119724272</v>
      </c>
      <c r="D10">
        <f t="shared" si="3"/>
        <v>190.17594880275729</v>
      </c>
      <c r="E10">
        <f t="shared" si="4"/>
        <v>385.55</v>
      </c>
      <c r="F10">
        <f t="shared" si="5"/>
        <v>99026.860106763081</v>
      </c>
    </row>
    <row r="11" spans="1:6" x14ac:dyDescent="0.3">
      <c r="A11">
        <f t="shared" si="0"/>
        <v>353</v>
      </c>
      <c r="B11" s="2">
        <f t="shared" si="1"/>
        <v>46388</v>
      </c>
      <c r="C11">
        <f t="shared" si="2"/>
        <v>195.74851812870412</v>
      </c>
      <c r="D11">
        <f t="shared" si="3"/>
        <v>189.80148187129589</v>
      </c>
      <c r="E11">
        <f t="shared" si="4"/>
        <v>385.55</v>
      </c>
      <c r="F11">
        <f t="shared" si="5"/>
        <v>98831.111588634376</v>
      </c>
    </row>
    <row r="12" spans="1:6" x14ac:dyDescent="0.3">
      <c r="A12">
        <f t="shared" si="0"/>
        <v>352</v>
      </c>
      <c r="B12" s="2">
        <f t="shared" si="1"/>
        <v>46419</v>
      </c>
      <c r="C12">
        <f t="shared" si="2"/>
        <v>196.1237027884508</v>
      </c>
      <c r="D12">
        <f t="shared" si="3"/>
        <v>189.42629721154921</v>
      </c>
      <c r="E12">
        <f t="shared" si="4"/>
        <v>385.55</v>
      </c>
      <c r="F12">
        <f t="shared" si="5"/>
        <v>98634.987885845927</v>
      </c>
    </row>
    <row r="13" spans="1:6" x14ac:dyDescent="0.3">
      <c r="A13">
        <f t="shared" si="0"/>
        <v>351</v>
      </c>
      <c r="B13" s="2">
        <f t="shared" si="1"/>
        <v>46447</v>
      </c>
      <c r="C13">
        <f t="shared" si="2"/>
        <v>196.49960655212865</v>
      </c>
      <c r="D13">
        <f t="shared" si="3"/>
        <v>189.05039344787136</v>
      </c>
      <c r="E13">
        <f t="shared" si="4"/>
        <v>385.55</v>
      </c>
      <c r="F13">
        <f t="shared" si="5"/>
        <v>98438.488279293801</v>
      </c>
    </row>
    <row r="14" spans="1:6" x14ac:dyDescent="0.3">
      <c r="A14">
        <f t="shared" si="0"/>
        <v>350</v>
      </c>
      <c r="B14" s="2">
        <f t="shared" si="1"/>
        <v>46478</v>
      </c>
      <c r="C14">
        <f t="shared" si="2"/>
        <v>196.87623079802023</v>
      </c>
      <c r="D14">
        <f t="shared" si="3"/>
        <v>188.67376920197978</v>
      </c>
      <c r="E14">
        <f t="shared" si="4"/>
        <v>385.55</v>
      </c>
      <c r="F14">
        <f t="shared" si="5"/>
        <v>98241.612048495779</v>
      </c>
    </row>
    <row r="15" spans="1:6" x14ac:dyDescent="0.3">
      <c r="A15">
        <f t="shared" si="0"/>
        <v>349</v>
      </c>
      <c r="B15" s="2">
        <f t="shared" si="1"/>
        <v>46508</v>
      </c>
      <c r="C15">
        <f t="shared" si="2"/>
        <v>197.25357690704976</v>
      </c>
      <c r="D15">
        <f t="shared" si="3"/>
        <v>188.29642309295025</v>
      </c>
      <c r="E15">
        <f t="shared" si="4"/>
        <v>385.55</v>
      </c>
      <c r="F15">
        <f t="shared" si="5"/>
        <v>98044.358471588726</v>
      </c>
    </row>
    <row r="16" spans="1:6" x14ac:dyDescent="0.3">
      <c r="A16">
        <f t="shared" si="0"/>
        <v>348</v>
      </c>
      <c r="B16" s="2">
        <f t="shared" si="1"/>
        <v>46539</v>
      </c>
      <c r="C16">
        <f t="shared" si="2"/>
        <v>197.63164626278828</v>
      </c>
      <c r="D16">
        <f t="shared" si="3"/>
        <v>187.91835373721173</v>
      </c>
      <c r="E16">
        <f t="shared" si="4"/>
        <v>385.55</v>
      </c>
      <c r="F16">
        <f t="shared" si="5"/>
        <v>97846.726825325939</v>
      </c>
    </row>
    <row r="17" spans="1:6" x14ac:dyDescent="0.3">
      <c r="A17">
        <f t="shared" si="0"/>
        <v>347</v>
      </c>
      <c r="B17" s="2">
        <f t="shared" si="1"/>
        <v>46569</v>
      </c>
      <c r="C17">
        <f t="shared" si="2"/>
        <v>198.01044025145865</v>
      </c>
      <c r="D17">
        <f t="shared" si="3"/>
        <v>187.53955974854136</v>
      </c>
      <c r="E17">
        <f t="shared" si="4"/>
        <v>385.55</v>
      </c>
      <c r="F17">
        <f t="shared" si="5"/>
        <v>97648.716385074484</v>
      </c>
    </row>
    <row r="18" spans="1:6" x14ac:dyDescent="0.3">
      <c r="A18">
        <f t="shared" si="0"/>
        <v>346</v>
      </c>
      <c r="B18" s="2">
        <f t="shared" si="1"/>
        <v>46600</v>
      </c>
      <c r="C18">
        <f t="shared" si="2"/>
        <v>198.38996026194062</v>
      </c>
      <c r="D18">
        <f t="shared" si="3"/>
        <v>187.1600397380594</v>
      </c>
      <c r="E18">
        <f t="shared" si="4"/>
        <v>385.55</v>
      </c>
      <c r="F18">
        <f t="shared" si="5"/>
        <v>97450.326424812549</v>
      </c>
    </row>
    <row r="19" spans="1:6" x14ac:dyDescent="0.3">
      <c r="A19">
        <f t="shared" si="0"/>
        <v>345</v>
      </c>
      <c r="B19" s="2">
        <f t="shared" si="1"/>
        <v>46631</v>
      </c>
      <c r="C19">
        <f t="shared" si="2"/>
        <v>198.77020768577594</v>
      </c>
      <c r="D19">
        <f t="shared" si="3"/>
        <v>186.77979231422407</v>
      </c>
      <c r="E19">
        <f t="shared" si="4"/>
        <v>385.55</v>
      </c>
      <c r="F19">
        <f t="shared" si="5"/>
        <v>97251.556217126767</v>
      </c>
    </row>
    <row r="20" spans="1:6" x14ac:dyDescent="0.3">
      <c r="A20">
        <f t="shared" si="0"/>
        <v>344</v>
      </c>
      <c r="B20" s="2">
        <f t="shared" si="1"/>
        <v>46661</v>
      </c>
      <c r="C20">
        <f t="shared" si="2"/>
        <v>199.15118391717371</v>
      </c>
      <c r="D20">
        <f t="shared" si="3"/>
        <v>186.3988160828263</v>
      </c>
      <c r="E20">
        <f t="shared" si="4"/>
        <v>385.55</v>
      </c>
      <c r="F20">
        <f t="shared" si="5"/>
        <v>97052.405033209594</v>
      </c>
    </row>
    <row r="21" spans="1:6" x14ac:dyDescent="0.3">
      <c r="A21">
        <f t="shared" si="0"/>
        <v>343</v>
      </c>
      <c r="B21" s="2">
        <f t="shared" si="1"/>
        <v>46692</v>
      </c>
      <c r="C21">
        <f t="shared" si="2"/>
        <v>199.53289035301495</v>
      </c>
      <c r="D21">
        <f t="shared" si="3"/>
        <v>186.01710964698506</v>
      </c>
      <c r="E21">
        <f t="shared" si="4"/>
        <v>385.55</v>
      </c>
      <c r="F21">
        <f t="shared" si="5"/>
        <v>96852.872142856577</v>
      </c>
    </row>
    <row r="22" spans="1:6" x14ac:dyDescent="0.3">
      <c r="A22">
        <f t="shared" si="0"/>
        <v>342</v>
      </c>
      <c r="B22" s="2">
        <f t="shared" si="1"/>
        <v>46722</v>
      </c>
      <c r="C22">
        <f t="shared" si="2"/>
        <v>199.91532839285824</v>
      </c>
      <c r="D22">
        <f t="shared" si="3"/>
        <v>185.63467160714177</v>
      </c>
      <c r="E22">
        <f t="shared" si="4"/>
        <v>385.55</v>
      </c>
      <c r="F22">
        <f t="shared" si="5"/>
        <v>96652.956814463716</v>
      </c>
    </row>
    <row r="23" spans="1:6" x14ac:dyDescent="0.3">
      <c r="A23">
        <f t="shared" si="0"/>
        <v>341</v>
      </c>
      <c r="B23" s="2">
        <f t="shared" si="1"/>
        <v>46753</v>
      </c>
      <c r="C23">
        <f t="shared" si="2"/>
        <v>200.29849943894456</v>
      </c>
      <c r="D23">
        <f t="shared" si="3"/>
        <v>185.25150056105545</v>
      </c>
      <c r="E23">
        <f t="shared" si="4"/>
        <v>385.55</v>
      </c>
      <c r="F23">
        <f t="shared" si="5"/>
        <v>96452.658315024775</v>
      </c>
    </row>
    <row r="24" spans="1:6" x14ac:dyDescent="0.3">
      <c r="A24">
        <f t="shared" si="0"/>
        <v>340</v>
      </c>
      <c r="B24" s="2">
        <f t="shared" si="1"/>
        <v>46784</v>
      </c>
      <c r="C24">
        <f t="shared" si="2"/>
        <v>200.68240489620251</v>
      </c>
      <c r="D24">
        <f t="shared" si="3"/>
        <v>184.8675951037975</v>
      </c>
      <c r="E24">
        <f t="shared" si="4"/>
        <v>385.55</v>
      </c>
      <c r="F24">
        <f t="shared" si="5"/>
        <v>96251.975910128574</v>
      </c>
    </row>
    <row r="25" spans="1:6" x14ac:dyDescent="0.3">
      <c r="A25">
        <f t="shared" si="0"/>
        <v>339</v>
      </c>
      <c r="B25" s="2">
        <f t="shared" si="1"/>
        <v>46813</v>
      </c>
      <c r="C25">
        <f t="shared" si="2"/>
        <v>201.06704617225358</v>
      </c>
      <c r="D25">
        <f t="shared" si="3"/>
        <v>184.48295382774643</v>
      </c>
      <c r="E25">
        <f t="shared" si="4"/>
        <v>385.55</v>
      </c>
      <c r="F25">
        <f t="shared" si="5"/>
        <v>96050.908863956327</v>
      </c>
    </row>
    <row r="26" spans="1:6" x14ac:dyDescent="0.3">
      <c r="A26">
        <f t="shared" si="0"/>
        <v>338</v>
      </c>
      <c r="B26" s="2">
        <f t="shared" si="1"/>
        <v>46844</v>
      </c>
      <c r="C26">
        <f t="shared" si="2"/>
        <v>201.45242467741704</v>
      </c>
      <c r="D26">
        <f t="shared" si="3"/>
        <v>184.09757532258297</v>
      </c>
      <c r="E26">
        <f t="shared" si="4"/>
        <v>385.55</v>
      </c>
      <c r="F26">
        <f t="shared" si="5"/>
        <v>95849.456439278903</v>
      </c>
    </row>
    <row r="27" spans="1:6" x14ac:dyDescent="0.3">
      <c r="A27">
        <f t="shared" si="0"/>
        <v>337</v>
      </c>
      <c r="B27" s="2">
        <f t="shared" si="1"/>
        <v>46874</v>
      </c>
      <c r="C27">
        <f t="shared" si="2"/>
        <v>201.83854182471546</v>
      </c>
      <c r="D27">
        <f t="shared" si="3"/>
        <v>183.71145817528455</v>
      </c>
      <c r="E27">
        <f t="shared" si="4"/>
        <v>385.55</v>
      </c>
      <c r="F27">
        <f t="shared" si="5"/>
        <v>95647.617897454184</v>
      </c>
    </row>
    <row r="28" spans="1:6" x14ac:dyDescent="0.3">
      <c r="A28">
        <f t="shared" si="0"/>
        <v>336</v>
      </c>
      <c r="B28" s="2">
        <f t="shared" si="1"/>
        <v>46905</v>
      </c>
      <c r="C28">
        <f t="shared" si="2"/>
        <v>202.2253990298795</v>
      </c>
      <c r="D28">
        <f t="shared" si="3"/>
        <v>183.32460097012051</v>
      </c>
      <c r="E28">
        <f t="shared" si="4"/>
        <v>385.55</v>
      </c>
      <c r="F28">
        <f t="shared" si="5"/>
        <v>95445.392498424306</v>
      </c>
    </row>
    <row r="29" spans="1:6" x14ac:dyDescent="0.3">
      <c r="A29">
        <f t="shared" si="0"/>
        <v>335</v>
      </c>
      <c r="B29" s="2">
        <f t="shared" si="1"/>
        <v>46935</v>
      </c>
      <c r="C29">
        <f t="shared" si="2"/>
        <v>202.61299771135344</v>
      </c>
      <c r="D29">
        <f t="shared" si="3"/>
        <v>182.93700228864657</v>
      </c>
      <c r="E29">
        <f t="shared" si="4"/>
        <v>385.55</v>
      </c>
      <c r="F29">
        <f t="shared" si="5"/>
        <v>95242.779500712946</v>
      </c>
    </row>
    <row r="30" spans="1:6" x14ac:dyDescent="0.3">
      <c r="A30">
        <f t="shared" si="0"/>
        <v>334</v>
      </c>
      <c r="B30" s="2">
        <f t="shared" si="1"/>
        <v>46966</v>
      </c>
      <c r="C30">
        <f t="shared" si="2"/>
        <v>203.00133929030019</v>
      </c>
      <c r="D30">
        <f t="shared" si="3"/>
        <v>182.54866070969982</v>
      </c>
      <c r="E30">
        <f t="shared" si="4"/>
        <v>385.55</v>
      </c>
      <c r="F30">
        <f t="shared" si="5"/>
        <v>95039.778161422641</v>
      </c>
    </row>
    <row r="31" spans="1:6" x14ac:dyDescent="0.3">
      <c r="A31">
        <f t="shared" si="0"/>
        <v>333</v>
      </c>
      <c r="B31" s="2">
        <f t="shared" si="1"/>
        <v>46997</v>
      </c>
      <c r="C31">
        <f t="shared" si="2"/>
        <v>203.39042519060663</v>
      </c>
      <c r="D31">
        <f t="shared" si="3"/>
        <v>182.15957480939338</v>
      </c>
      <c r="E31">
        <f t="shared" si="4"/>
        <v>385.55</v>
      </c>
      <c r="F31">
        <f t="shared" si="5"/>
        <v>94836.387736232035</v>
      </c>
    </row>
    <row r="32" spans="1:6" x14ac:dyDescent="0.3">
      <c r="A32">
        <f t="shared" si="0"/>
        <v>332</v>
      </c>
      <c r="B32" s="2">
        <f t="shared" si="1"/>
        <v>47027</v>
      </c>
      <c r="C32">
        <f t="shared" si="2"/>
        <v>203.78025683888862</v>
      </c>
      <c r="D32">
        <f t="shared" si="3"/>
        <v>181.76974316111139</v>
      </c>
      <c r="E32">
        <f t="shared" si="4"/>
        <v>385.55</v>
      </c>
      <c r="F32">
        <f t="shared" si="5"/>
        <v>94632.607479393148</v>
      </c>
    </row>
    <row r="33" spans="1:6" x14ac:dyDescent="0.3">
      <c r="A33">
        <f t="shared" si="0"/>
        <v>331</v>
      </c>
      <c r="B33" s="2">
        <f t="shared" si="1"/>
        <v>47058</v>
      </c>
      <c r="C33">
        <f t="shared" si="2"/>
        <v>204.17083566449648</v>
      </c>
      <c r="D33">
        <f t="shared" si="3"/>
        <v>181.37916433550353</v>
      </c>
      <c r="E33">
        <f t="shared" si="4"/>
        <v>385.55</v>
      </c>
      <c r="F33">
        <f t="shared" si="5"/>
        <v>94428.436643728652</v>
      </c>
    </row>
    <row r="34" spans="1:6" x14ac:dyDescent="0.3">
      <c r="A34">
        <f t="shared" si="0"/>
        <v>330</v>
      </c>
      <c r="B34" s="2">
        <f t="shared" si="1"/>
        <v>47088</v>
      </c>
      <c r="C34">
        <f t="shared" si="2"/>
        <v>204.56216309952009</v>
      </c>
      <c r="D34">
        <f t="shared" si="3"/>
        <v>180.98783690047992</v>
      </c>
      <c r="E34">
        <f t="shared" si="4"/>
        <v>385.55</v>
      </c>
      <c r="F34">
        <f t="shared" si="5"/>
        <v>94223.874480629136</v>
      </c>
    </row>
    <row r="35" spans="1:6" x14ac:dyDescent="0.3">
      <c r="A35">
        <f t="shared" si="0"/>
        <v>329</v>
      </c>
      <c r="B35" s="2">
        <f t="shared" si="1"/>
        <v>47119</v>
      </c>
      <c r="C35">
        <f t="shared" si="2"/>
        <v>204.95424057879418</v>
      </c>
      <c r="D35">
        <f t="shared" si="3"/>
        <v>180.59575942120583</v>
      </c>
      <c r="E35">
        <f t="shared" si="4"/>
        <v>385.55</v>
      </c>
      <c r="F35">
        <f t="shared" si="5"/>
        <v>94018.920240050342</v>
      </c>
    </row>
    <row r="36" spans="1:6" x14ac:dyDescent="0.3">
      <c r="A36">
        <f t="shared" si="0"/>
        <v>328</v>
      </c>
      <c r="B36" s="2">
        <f t="shared" si="1"/>
        <v>47150</v>
      </c>
      <c r="C36">
        <f t="shared" si="2"/>
        <v>205.34706953990354</v>
      </c>
      <c r="D36">
        <f t="shared" si="3"/>
        <v>180.20293046009647</v>
      </c>
      <c r="E36">
        <f t="shared" si="4"/>
        <v>385.55</v>
      </c>
      <c r="F36">
        <f t="shared" si="5"/>
        <v>93813.573170510441</v>
      </c>
    </row>
    <row r="37" spans="1:6" x14ac:dyDescent="0.3">
      <c r="A37">
        <f t="shared" si="0"/>
        <v>327</v>
      </c>
      <c r="B37" s="2">
        <f t="shared" si="1"/>
        <v>47178</v>
      </c>
      <c r="C37">
        <f t="shared" si="2"/>
        <v>205.74065142318835</v>
      </c>
      <c r="D37">
        <f t="shared" si="3"/>
        <v>179.80934857681166</v>
      </c>
      <c r="E37">
        <f t="shared" si="4"/>
        <v>385.55</v>
      </c>
      <c r="F37">
        <f t="shared" si="5"/>
        <v>93607.832519087257</v>
      </c>
    </row>
    <row r="38" spans="1:6" x14ac:dyDescent="0.3">
      <c r="A38">
        <f t="shared" si="0"/>
        <v>326</v>
      </c>
      <c r="B38" s="2">
        <f t="shared" si="1"/>
        <v>47209</v>
      </c>
      <c r="C38">
        <f t="shared" si="2"/>
        <v>206.13498767174946</v>
      </c>
      <c r="D38">
        <f t="shared" si="3"/>
        <v>179.41501232825055</v>
      </c>
      <c r="E38">
        <f t="shared" si="4"/>
        <v>385.55</v>
      </c>
      <c r="F38">
        <f t="shared" si="5"/>
        <v>93401.697531415513</v>
      </c>
    </row>
    <row r="39" spans="1:6" x14ac:dyDescent="0.3">
      <c r="A39">
        <f t="shared" si="0"/>
        <v>325</v>
      </c>
      <c r="B39" s="2">
        <f t="shared" si="1"/>
        <v>47239</v>
      </c>
      <c r="C39">
        <f t="shared" si="2"/>
        <v>206.53007973145364</v>
      </c>
      <c r="D39">
        <f t="shared" si="3"/>
        <v>179.01992026854637</v>
      </c>
      <c r="E39">
        <f t="shared" si="4"/>
        <v>385.55</v>
      </c>
      <c r="F39">
        <f t="shared" si="5"/>
        <v>93195.167451684058</v>
      </c>
    </row>
    <row r="40" spans="1:6" x14ac:dyDescent="0.3">
      <c r="A40">
        <f t="shared" si="0"/>
        <v>324</v>
      </c>
      <c r="B40" s="2">
        <f t="shared" si="1"/>
        <v>47270</v>
      </c>
      <c r="C40">
        <f t="shared" si="2"/>
        <v>206.92592905093892</v>
      </c>
      <c r="D40">
        <f t="shared" si="3"/>
        <v>178.62407094906109</v>
      </c>
      <c r="E40">
        <f t="shared" si="4"/>
        <v>385.55</v>
      </c>
      <c r="F40">
        <f t="shared" si="5"/>
        <v>92988.241522633121</v>
      </c>
    </row>
    <row r="41" spans="1:6" x14ac:dyDescent="0.3">
      <c r="A41">
        <f t="shared" si="0"/>
        <v>323</v>
      </c>
      <c r="B41" s="2">
        <f t="shared" si="1"/>
        <v>47300</v>
      </c>
      <c r="C41">
        <f t="shared" si="2"/>
        <v>207.32253708161986</v>
      </c>
      <c r="D41">
        <f t="shared" si="3"/>
        <v>178.22746291838016</v>
      </c>
      <c r="E41">
        <f t="shared" si="4"/>
        <v>385.55</v>
      </c>
      <c r="F41">
        <f t="shared" si="5"/>
        <v>92780.9189855515</v>
      </c>
    </row>
    <row r="42" spans="1:6" x14ac:dyDescent="0.3">
      <c r="A42">
        <f t="shared" si="0"/>
        <v>322</v>
      </c>
      <c r="B42" s="2">
        <f t="shared" si="1"/>
        <v>47331</v>
      </c>
      <c r="C42">
        <f t="shared" si="2"/>
        <v>207.71990527769296</v>
      </c>
      <c r="D42">
        <f t="shared" si="3"/>
        <v>177.83009472230705</v>
      </c>
      <c r="E42">
        <f t="shared" si="4"/>
        <v>385.55</v>
      </c>
      <c r="F42">
        <f t="shared" si="5"/>
        <v>92573.1990802738</v>
      </c>
    </row>
    <row r="43" spans="1:6" x14ac:dyDescent="0.3">
      <c r="A43">
        <f t="shared" si="0"/>
        <v>321</v>
      </c>
      <c r="B43" s="2">
        <f t="shared" si="1"/>
        <v>47362</v>
      </c>
      <c r="C43">
        <f t="shared" si="2"/>
        <v>208.11803509614191</v>
      </c>
      <c r="D43">
        <f t="shared" si="3"/>
        <v>177.4319649038581</v>
      </c>
      <c r="E43">
        <f t="shared" si="4"/>
        <v>385.55</v>
      </c>
      <c r="F43">
        <f t="shared" si="5"/>
        <v>92365.081045177663</v>
      </c>
    </row>
    <row r="44" spans="1:6" x14ac:dyDescent="0.3">
      <c r="A44">
        <f t="shared" si="0"/>
        <v>320</v>
      </c>
      <c r="B44" s="2">
        <f t="shared" si="1"/>
        <v>47392</v>
      </c>
      <c r="C44">
        <f t="shared" si="2"/>
        <v>208.51692799674282</v>
      </c>
      <c r="D44">
        <f t="shared" si="3"/>
        <v>177.03307200325719</v>
      </c>
      <c r="E44">
        <f t="shared" si="4"/>
        <v>385.55</v>
      </c>
      <c r="F44">
        <f t="shared" si="5"/>
        <v>92156.564117180926</v>
      </c>
    </row>
    <row r="45" spans="1:6" x14ac:dyDescent="0.3">
      <c r="A45">
        <f t="shared" si="0"/>
        <v>319</v>
      </c>
      <c r="B45" s="2">
        <f t="shared" si="1"/>
        <v>47423</v>
      </c>
      <c r="C45">
        <f t="shared" si="2"/>
        <v>208.9165854420699</v>
      </c>
      <c r="D45">
        <f t="shared" si="3"/>
        <v>176.63341455793011</v>
      </c>
      <c r="E45">
        <f t="shared" si="4"/>
        <v>385.55</v>
      </c>
      <c r="F45">
        <f t="shared" si="5"/>
        <v>91947.647531738854</v>
      </c>
    </row>
    <row r="46" spans="1:6" x14ac:dyDescent="0.3">
      <c r="A46">
        <f t="shared" si="0"/>
        <v>318</v>
      </c>
      <c r="B46" s="2">
        <f t="shared" si="1"/>
        <v>47453</v>
      </c>
      <c r="C46">
        <f t="shared" si="2"/>
        <v>209.31700889750056</v>
      </c>
      <c r="D46">
        <f t="shared" si="3"/>
        <v>176.23299110249945</v>
      </c>
      <c r="E46">
        <f t="shared" si="4"/>
        <v>385.55</v>
      </c>
      <c r="F46">
        <f t="shared" si="5"/>
        <v>91738.330522841352</v>
      </c>
    </row>
    <row r="47" spans="1:6" x14ac:dyDescent="0.3">
      <c r="A47">
        <f t="shared" si="0"/>
        <v>317</v>
      </c>
      <c r="B47" s="2">
        <f t="shared" si="1"/>
        <v>47484</v>
      </c>
      <c r="C47">
        <f t="shared" si="2"/>
        <v>209.71819983122074</v>
      </c>
      <c r="D47">
        <f t="shared" si="3"/>
        <v>175.83180016877927</v>
      </c>
      <c r="E47">
        <f t="shared" si="4"/>
        <v>385.55</v>
      </c>
      <c r="F47">
        <f t="shared" si="5"/>
        <v>91528.612323010137</v>
      </c>
    </row>
    <row r="48" spans="1:6" x14ac:dyDescent="0.3">
      <c r="A48">
        <f t="shared" si="0"/>
        <v>316</v>
      </c>
      <c r="B48" s="2">
        <f t="shared" si="1"/>
        <v>47515</v>
      </c>
      <c r="C48">
        <f t="shared" si="2"/>
        <v>210.1201597142306</v>
      </c>
      <c r="D48">
        <f t="shared" si="3"/>
        <v>175.42984028576942</v>
      </c>
      <c r="E48">
        <f t="shared" si="4"/>
        <v>385.55</v>
      </c>
      <c r="F48">
        <f t="shared" si="5"/>
        <v>91318.492163295901</v>
      </c>
    </row>
    <row r="49" spans="1:6" x14ac:dyDescent="0.3">
      <c r="A49">
        <f t="shared" si="0"/>
        <v>315</v>
      </c>
      <c r="B49" s="2">
        <f t="shared" si="1"/>
        <v>47543</v>
      </c>
      <c r="C49">
        <f t="shared" si="2"/>
        <v>210.52289002034954</v>
      </c>
      <c r="D49">
        <f t="shared" si="3"/>
        <v>175.02710997965048</v>
      </c>
      <c r="E49">
        <f t="shared" si="4"/>
        <v>385.55</v>
      </c>
      <c r="F49">
        <f t="shared" si="5"/>
        <v>91107.96927327555</v>
      </c>
    </row>
    <row r="50" spans="1:6" x14ac:dyDescent="0.3">
      <c r="A50">
        <f t="shared" si="0"/>
        <v>314</v>
      </c>
      <c r="B50" s="2">
        <f t="shared" si="1"/>
        <v>47574</v>
      </c>
      <c r="C50">
        <f t="shared" si="2"/>
        <v>210.92639222622185</v>
      </c>
      <c r="D50">
        <f t="shared" si="3"/>
        <v>174.62360777377816</v>
      </c>
      <c r="E50">
        <f t="shared" si="4"/>
        <v>385.55</v>
      </c>
      <c r="F50">
        <f t="shared" si="5"/>
        <v>90897.042881049332</v>
      </c>
    </row>
    <row r="51" spans="1:6" x14ac:dyDescent="0.3">
      <c r="A51">
        <f t="shared" si="0"/>
        <v>313</v>
      </c>
      <c r="B51" s="2">
        <f t="shared" si="1"/>
        <v>47604</v>
      </c>
      <c r="C51">
        <f t="shared" si="2"/>
        <v>211.33066781132214</v>
      </c>
      <c r="D51">
        <f t="shared" si="3"/>
        <v>174.21933218867787</v>
      </c>
      <c r="E51">
        <f t="shared" si="4"/>
        <v>385.55</v>
      </c>
      <c r="F51">
        <f t="shared" si="5"/>
        <v>90685.712213238017</v>
      </c>
    </row>
    <row r="52" spans="1:6" x14ac:dyDescent="0.3">
      <c r="A52">
        <f t="shared" si="0"/>
        <v>312</v>
      </c>
      <c r="B52" s="2">
        <f t="shared" si="1"/>
        <v>47635</v>
      </c>
      <c r="C52">
        <f t="shared" si="2"/>
        <v>211.73571825796049</v>
      </c>
      <c r="D52">
        <f t="shared" si="3"/>
        <v>173.81428174203953</v>
      </c>
      <c r="E52">
        <f t="shared" si="4"/>
        <v>385.55</v>
      </c>
      <c r="F52">
        <f t="shared" si="5"/>
        <v>90473.976494980059</v>
      </c>
    </row>
    <row r="53" spans="1:6" x14ac:dyDescent="0.3">
      <c r="A53">
        <f t="shared" si="0"/>
        <v>311</v>
      </c>
      <c r="B53" s="2">
        <f t="shared" si="1"/>
        <v>47665</v>
      </c>
      <c r="C53">
        <f t="shared" si="2"/>
        <v>212.14154505128823</v>
      </c>
      <c r="D53">
        <f t="shared" si="3"/>
        <v>173.40845494871178</v>
      </c>
      <c r="E53">
        <f t="shared" si="4"/>
        <v>385.55</v>
      </c>
      <c r="F53">
        <f t="shared" si="5"/>
        <v>90261.834949928772</v>
      </c>
    </row>
    <row r="54" spans="1:6" x14ac:dyDescent="0.3">
      <c r="A54">
        <f t="shared" si="0"/>
        <v>310</v>
      </c>
      <c r="B54" s="2">
        <f t="shared" si="1"/>
        <v>47696</v>
      </c>
      <c r="C54">
        <f t="shared" si="2"/>
        <v>212.54814967930321</v>
      </c>
      <c r="D54">
        <f t="shared" si="3"/>
        <v>173.0018503206968</v>
      </c>
      <c r="E54">
        <f t="shared" si="4"/>
        <v>385.55</v>
      </c>
      <c r="F54">
        <f t="shared" si="5"/>
        <v>90049.286800249465</v>
      </c>
    </row>
    <row r="55" spans="1:6" x14ac:dyDescent="0.3">
      <c r="A55">
        <f t="shared" si="0"/>
        <v>309</v>
      </c>
      <c r="B55" s="2">
        <f t="shared" si="1"/>
        <v>47727</v>
      </c>
      <c r="C55">
        <f t="shared" si="2"/>
        <v>212.95553363285521</v>
      </c>
      <c r="D55">
        <f t="shared" si="3"/>
        <v>172.5944663671448</v>
      </c>
      <c r="E55">
        <f t="shared" si="4"/>
        <v>385.55</v>
      </c>
      <c r="F55">
        <f t="shared" si="5"/>
        <v>89836.331266616617</v>
      </c>
    </row>
    <row r="56" spans="1:6" x14ac:dyDescent="0.3">
      <c r="A56">
        <f t="shared" si="0"/>
        <v>308</v>
      </c>
      <c r="B56" s="2">
        <f t="shared" si="1"/>
        <v>47757</v>
      </c>
      <c r="C56">
        <f t="shared" si="2"/>
        <v>213.36369840565149</v>
      </c>
      <c r="D56">
        <f t="shared" si="3"/>
        <v>172.18630159434852</v>
      </c>
      <c r="E56">
        <f t="shared" si="4"/>
        <v>385.55</v>
      </c>
      <c r="F56">
        <f t="shared" si="5"/>
        <v>89622.967568210966</v>
      </c>
    </row>
    <row r="57" spans="1:6" x14ac:dyDescent="0.3">
      <c r="A57">
        <f t="shared" si="0"/>
        <v>307</v>
      </c>
      <c r="B57" s="2">
        <f t="shared" si="1"/>
        <v>47788</v>
      </c>
      <c r="C57">
        <f t="shared" si="2"/>
        <v>213.77264549426232</v>
      </c>
      <c r="D57">
        <f t="shared" si="3"/>
        <v>171.77735450573769</v>
      </c>
      <c r="E57">
        <f t="shared" si="4"/>
        <v>385.55</v>
      </c>
      <c r="F57">
        <f t="shared" si="5"/>
        <v>89409.194922716706</v>
      </c>
    </row>
    <row r="58" spans="1:6" x14ac:dyDescent="0.3">
      <c r="A58">
        <f t="shared" si="0"/>
        <v>306</v>
      </c>
      <c r="B58" s="2">
        <f t="shared" si="1"/>
        <v>47818</v>
      </c>
      <c r="C58">
        <f t="shared" si="2"/>
        <v>214.18237639812634</v>
      </c>
      <c r="D58">
        <f t="shared" si="3"/>
        <v>171.36762360187367</v>
      </c>
      <c r="E58">
        <f t="shared" si="4"/>
        <v>385.55</v>
      </c>
      <c r="F58">
        <f t="shared" si="5"/>
        <v>89195.012546318583</v>
      </c>
    </row>
    <row r="59" spans="1:6" x14ac:dyDescent="0.3">
      <c r="A59">
        <f t="shared" si="0"/>
        <v>305</v>
      </c>
      <c r="B59" s="2">
        <f t="shared" si="1"/>
        <v>47849</v>
      </c>
      <c r="C59">
        <f t="shared" si="2"/>
        <v>214.59289261955607</v>
      </c>
      <c r="D59">
        <f t="shared" si="3"/>
        <v>170.95710738044394</v>
      </c>
      <c r="E59">
        <f t="shared" si="4"/>
        <v>385.55</v>
      </c>
      <c r="F59">
        <f t="shared" si="5"/>
        <v>88980.41965369902</v>
      </c>
    </row>
    <row r="60" spans="1:6" x14ac:dyDescent="0.3">
      <c r="A60">
        <f t="shared" si="0"/>
        <v>304</v>
      </c>
      <c r="B60" s="2">
        <f t="shared" si="1"/>
        <v>47880</v>
      </c>
      <c r="C60">
        <f t="shared" si="2"/>
        <v>215.00419566374356</v>
      </c>
      <c r="D60">
        <f t="shared" si="3"/>
        <v>170.54580433625645</v>
      </c>
      <c r="E60">
        <f t="shared" si="4"/>
        <v>385.55</v>
      </c>
      <c r="F60">
        <f t="shared" si="5"/>
        <v>88765.415458035277</v>
      </c>
    </row>
    <row r="61" spans="1:6" x14ac:dyDescent="0.3">
      <c r="A61">
        <f t="shared" si="0"/>
        <v>303</v>
      </c>
      <c r="B61" s="2">
        <f t="shared" si="1"/>
        <v>47908</v>
      </c>
      <c r="C61">
        <f t="shared" si="2"/>
        <v>215.41628703876572</v>
      </c>
      <c r="D61">
        <f t="shared" si="3"/>
        <v>170.13371296123429</v>
      </c>
      <c r="E61">
        <f t="shared" si="4"/>
        <v>385.55</v>
      </c>
      <c r="F61">
        <f t="shared" si="5"/>
        <v>88549.999170996511</v>
      </c>
    </row>
    <row r="62" spans="1:6" x14ac:dyDescent="0.3">
      <c r="A62">
        <f t="shared" si="0"/>
        <v>302</v>
      </c>
      <c r="B62" s="2">
        <f t="shared" si="1"/>
        <v>47939</v>
      </c>
      <c r="C62">
        <f t="shared" si="2"/>
        <v>215.82916825559002</v>
      </c>
      <c r="D62">
        <f t="shared" si="3"/>
        <v>169.72083174440999</v>
      </c>
      <c r="E62">
        <f t="shared" si="4"/>
        <v>385.55</v>
      </c>
      <c r="F62">
        <f t="shared" si="5"/>
        <v>88334.170002740924</v>
      </c>
    </row>
    <row r="63" spans="1:6" x14ac:dyDescent="0.3">
      <c r="A63">
        <f t="shared" si="0"/>
        <v>301</v>
      </c>
      <c r="B63" s="2">
        <f t="shared" si="1"/>
        <v>47969</v>
      </c>
      <c r="C63">
        <f t="shared" si="2"/>
        <v>216.24284082807989</v>
      </c>
      <c r="D63">
        <f t="shared" si="3"/>
        <v>169.30715917192012</v>
      </c>
      <c r="E63">
        <f t="shared" si="4"/>
        <v>385.55</v>
      </c>
      <c r="F63">
        <f t="shared" si="5"/>
        <v>88117.927161912841</v>
      </c>
    </row>
    <row r="64" spans="1:6" x14ac:dyDescent="0.3">
      <c r="A64">
        <f t="shared" si="0"/>
        <v>300</v>
      </c>
      <c r="B64" s="2">
        <f t="shared" si="1"/>
        <v>48000</v>
      </c>
      <c r="C64">
        <f t="shared" si="2"/>
        <v>216.65730627300039</v>
      </c>
      <c r="D64">
        <f t="shared" si="3"/>
        <v>168.89269372699962</v>
      </c>
      <c r="E64">
        <f t="shared" si="4"/>
        <v>385.55</v>
      </c>
      <c r="F64">
        <f t="shared" si="5"/>
        <v>87901.269855639839</v>
      </c>
    </row>
    <row r="65" spans="1:6" x14ac:dyDescent="0.3">
      <c r="A65">
        <f t="shared" si="0"/>
        <v>299</v>
      </c>
      <c r="B65" s="2">
        <f t="shared" si="1"/>
        <v>48030</v>
      </c>
      <c r="C65">
        <f t="shared" si="2"/>
        <v>217.07256611002364</v>
      </c>
      <c r="D65">
        <f t="shared" si="3"/>
        <v>168.47743388997637</v>
      </c>
      <c r="E65">
        <f t="shared" si="4"/>
        <v>385.55</v>
      </c>
      <c r="F65">
        <f t="shared" si="5"/>
        <v>87684.197289529809</v>
      </c>
    </row>
    <row r="66" spans="1:6" x14ac:dyDescent="0.3">
      <c r="A66">
        <f t="shared" si="0"/>
        <v>298</v>
      </c>
      <c r="B66" s="2">
        <f t="shared" si="1"/>
        <v>48061</v>
      </c>
      <c r="C66">
        <f t="shared" si="2"/>
        <v>217.48862186173454</v>
      </c>
      <c r="D66">
        <f t="shared" si="3"/>
        <v>168.06137813826547</v>
      </c>
      <c r="E66">
        <f t="shared" si="4"/>
        <v>385.55</v>
      </c>
      <c r="F66">
        <f t="shared" si="5"/>
        <v>87466.708667668077</v>
      </c>
    </row>
    <row r="67" spans="1:6" x14ac:dyDescent="0.3">
      <c r="A67">
        <f t="shared" si="0"/>
        <v>297</v>
      </c>
      <c r="B67" s="2">
        <f t="shared" si="1"/>
        <v>48092</v>
      </c>
      <c r="C67">
        <f t="shared" si="2"/>
        <v>217.9054750536362</v>
      </c>
      <c r="D67">
        <f t="shared" si="3"/>
        <v>167.64452494636382</v>
      </c>
      <c r="E67">
        <f t="shared" si="4"/>
        <v>385.55</v>
      </c>
      <c r="F67">
        <f t="shared" si="5"/>
        <v>87248.803192614447</v>
      </c>
    </row>
    <row r="68" spans="1:6" x14ac:dyDescent="0.3">
      <c r="A68">
        <f t="shared" si="0"/>
        <v>296</v>
      </c>
      <c r="B68" s="2">
        <f t="shared" si="1"/>
        <v>48122</v>
      </c>
      <c r="C68">
        <f t="shared" si="2"/>
        <v>218.32312721415568</v>
      </c>
      <c r="D68">
        <f t="shared" si="3"/>
        <v>167.22687278584434</v>
      </c>
      <c r="E68">
        <f t="shared" si="4"/>
        <v>385.55</v>
      </c>
      <c r="F68">
        <f t="shared" si="5"/>
        <v>87030.48006540029</v>
      </c>
    </row>
    <row r="69" spans="1:6" x14ac:dyDescent="0.3">
      <c r="A69">
        <f t="shared" si="0"/>
        <v>295</v>
      </c>
      <c r="B69" s="2">
        <f t="shared" si="1"/>
        <v>48153</v>
      </c>
      <c r="C69">
        <f t="shared" si="2"/>
        <v>218.74157987464946</v>
      </c>
      <c r="D69">
        <f t="shared" si="3"/>
        <v>166.80842012535055</v>
      </c>
      <c r="E69">
        <f t="shared" si="4"/>
        <v>385.55</v>
      </c>
      <c r="F69">
        <f t="shared" si="5"/>
        <v>86811.738485525639</v>
      </c>
    </row>
    <row r="70" spans="1:6" x14ac:dyDescent="0.3">
      <c r="A70">
        <f t="shared" si="0"/>
        <v>294</v>
      </c>
      <c r="B70" s="2">
        <f t="shared" si="1"/>
        <v>48183</v>
      </c>
      <c r="C70">
        <f t="shared" si="2"/>
        <v>219.16083456940922</v>
      </c>
      <c r="D70">
        <f t="shared" si="3"/>
        <v>166.38916543059079</v>
      </c>
      <c r="E70">
        <f t="shared" si="4"/>
        <v>385.55</v>
      </c>
      <c r="F70">
        <f t="shared" si="5"/>
        <v>86592.577650956227</v>
      </c>
    </row>
    <row r="71" spans="1:6" x14ac:dyDescent="0.3">
      <c r="A71">
        <f t="shared" ref="A71:A134" si="6">A70-1</f>
        <v>293</v>
      </c>
      <c r="B71" s="2">
        <f t="shared" si="1"/>
        <v>48214</v>
      </c>
      <c r="C71">
        <f t="shared" si="2"/>
        <v>219.58089283566724</v>
      </c>
      <c r="D71">
        <f t="shared" si="3"/>
        <v>165.96910716433277</v>
      </c>
      <c r="E71">
        <f t="shared" si="4"/>
        <v>385.55</v>
      </c>
      <c r="F71">
        <f t="shared" si="5"/>
        <v>86372.996758120556</v>
      </c>
    </row>
    <row r="72" spans="1:6" x14ac:dyDescent="0.3">
      <c r="A72">
        <f t="shared" si="6"/>
        <v>292</v>
      </c>
      <c r="B72" s="2">
        <f t="shared" ref="B72:B135" si="7">EDATE(B71,1)</f>
        <v>48245</v>
      </c>
      <c r="C72">
        <f t="shared" ref="C72:C135" si="8">$C$2-D72</f>
        <v>220.00175621360228</v>
      </c>
      <c r="D72">
        <f t="shared" ref="D72:D135" si="9">F71*$B$2/12</f>
        <v>165.54824378639773</v>
      </c>
      <c r="E72">
        <f t="shared" ref="E72:E135" si="10">$C$2</f>
        <v>385.55</v>
      </c>
      <c r="F72">
        <f t="shared" ref="F72:F135" si="11">F71-C72</f>
        <v>86152.995001906951</v>
      </c>
    </row>
    <row r="73" spans="1:6" x14ac:dyDescent="0.3">
      <c r="A73">
        <f t="shared" si="6"/>
        <v>291</v>
      </c>
      <c r="B73" s="2">
        <f t="shared" si="7"/>
        <v>48274</v>
      </c>
      <c r="C73">
        <f t="shared" si="8"/>
        <v>220.42342624634503</v>
      </c>
      <c r="D73">
        <f t="shared" si="9"/>
        <v>165.12657375365498</v>
      </c>
      <c r="E73">
        <f t="shared" si="10"/>
        <v>385.55</v>
      </c>
      <c r="F73">
        <f t="shared" si="11"/>
        <v>85932.571575660608</v>
      </c>
    </row>
    <row r="74" spans="1:6" x14ac:dyDescent="0.3">
      <c r="A74">
        <f t="shared" si="6"/>
        <v>290</v>
      </c>
      <c r="B74" s="2">
        <f t="shared" si="7"/>
        <v>48305</v>
      </c>
      <c r="C74">
        <f t="shared" si="8"/>
        <v>220.84590447998386</v>
      </c>
      <c r="D74">
        <f t="shared" si="9"/>
        <v>164.70409552001615</v>
      </c>
      <c r="E74">
        <f t="shared" si="10"/>
        <v>385.55</v>
      </c>
      <c r="F74">
        <f t="shared" si="11"/>
        <v>85711.725671180626</v>
      </c>
    </row>
    <row r="75" spans="1:6" x14ac:dyDescent="0.3">
      <c r="A75">
        <f t="shared" si="6"/>
        <v>289</v>
      </c>
      <c r="B75" s="2">
        <f t="shared" si="7"/>
        <v>48335</v>
      </c>
      <c r="C75">
        <f t="shared" si="8"/>
        <v>221.26919246357048</v>
      </c>
      <c r="D75">
        <f t="shared" si="9"/>
        <v>164.28080753642953</v>
      </c>
      <c r="E75">
        <f t="shared" si="10"/>
        <v>385.55</v>
      </c>
      <c r="F75">
        <f t="shared" si="11"/>
        <v>85490.456478717053</v>
      </c>
    </row>
    <row r="76" spans="1:6" x14ac:dyDescent="0.3">
      <c r="A76">
        <f t="shared" si="6"/>
        <v>288</v>
      </c>
      <c r="B76" s="2">
        <f t="shared" si="7"/>
        <v>48366</v>
      </c>
      <c r="C76">
        <f t="shared" si="8"/>
        <v>221.69329174912568</v>
      </c>
      <c r="D76">
        <f t="shared" si="9"/>
        <v>163.85670825087433</v>
      </c>
      <c r="E76">
        <f t="shared" si="10"/>
        <v>385.55</v>
      </c>
      <c r="F76">
        <f t="shared" si="11"/>
        <v>85268.763186967932</v>
      </c>
    </row>
    <row r="77" spans="1:6" x14ac:dyDescent="0.3">
      <c r="A77">
        <f t="shared" si="6"/>
        <v>287</v>
      </c>
      <c r="B77" s="2">
        <f t="shared" si="7"/>
        <v>48396</v>
      </c>
      <c r="C77">
        <f t="shared" si="8"/>
        <v>222.11820389164481</v>
      </c>
      <c r="D77">
        <f t="shared" si="9"/>
        <v>163.4317961083552</v>
      </c>
      <c r="E77">
        <f t="shared" si="10"/>
        <v>385.55</v>
      </c>
      <c r="F77">
        <f t="shared" si="11"/>
        <v>85046.644983076287</v>
      </c>
    </row>
    <row r="78" spans="1:6" x14ac:dyDescent="0.3">
      <c r="A78">
        <f t="shared" si="6"/>
        <v>286</v>
      </c>
      <c r="B78" s="2">
        <f t="shared" si="7"/>
        <v>48427</v>
      </c>
      <c r="C78">
        <f t="shared" si="8"/>
        <v>222.54393044910378</v>
      </c>
      <c r="D78">
        <f t="shared" si="9"/>
        <v>163.00606955089623</v>
      </c>
      <c r="E78">
        <f t="shared" si="10"/>
        <v>385.55</v>
      </c>
      <c r="F78">
        <f t="shared" si="11"/>
        <v>84824.101052627186</v>
      </c>
    </row>
    <row r="79" spans="1:6" x14ac:dyDescent="0.3">
      <c r="A79">
        <f t="shared" si="6"/>
        <v>285</v>
      </c>
      <c r="B79" s="2">
        <f t="shared" si="7"/>
        <v>48458</v>
      </c>
      <c r="C79">
        <f t="shared" si="8"/>
        <v>222.97047298246457</v>
      </c>
      <c r="D79">
        <f t="shared" si="9"/>
        <v>162.57952701753544</v>
      </c>
      <c r="E79">
        <f t="shared" si="10"/>
        <v>385.55</v>
      </c>
      <c r="F79">
        <f t="shared" si="11"/>
        <v>84601.130579644727</v>
      </c>
    </row>
    <row r="80" spans="1:6" x14ac:dyDescent="0.3">
      <c r="A80">
        <f t="shared" si="6"/>
        <v>284</v>
      </c>
      <c r="B80" s="2">
        <f t="shared" si="7"/>
        <v>48488</v>
      </c>
      <c r="C80">
        <f t="shared" si="8"/>
        <v>223.39783305568096</v>
      </c>
      <c r="D80">
        <f t="shared" si="9"/>
        <v>162.15216694431905</v>
      </c>
      <c r="E80">
        <f t="shared" si="10"/>
        <v>385.55</v>
      </c>
      <c r="F80">
        <f t="shared" si="11"/>
        <v>84377.732746589041</v>
      </c>
    </row>
    <row r="81" spans="1:6" x14ac:dyDescent="0.3">
      <c r="A81">
        <f t="shared" si="6"/>
        <v>283</v>
      </c>
      <c r="B81" s="2">
        <f t="shared" si="7"/>
        <v>48519</v>
      </c>
      <c r="C81">
        <f t="shared" si="8"/>
        <v>223.82601223570435</v>
      </c>
      <c r="D81">
        <f t="shared" si="9"/>
        <v>161.72398776429566</v>
      </c>
      <c r="E81">
        <f t="shared" si="10"/>
        <v>385.55</v>
      </c>
      <c r="F81">
        <f t="shared" si="11"/>
        <v>84153.906734353339</v>
      </c>
    </row>
    <row r="82" spans="1:6" x14ac:dyDescent="0.3">
      <c r="A82">
        <f t="shared" si="6"/>
        <v>282</v>
      </c>
      <c r="B82" s="2">
        <f t="shared" si="7"/>
        <v>48549</v>
      </c>
      <c r="C82">
        <f t="shared" si="8"/>
        <v>224.25501209248947</v>
      </c>
      <c r="D82">
        <f t="shared" si="9"/>
        <v>161.29498790751055</v>
      </c>
      <c r="E82">
        <f t="shared" si="10"/>
        <v>385.55</v>
      </c>
      <c r="F82">
        <f t="shared" si="11"/>
        <v>83929.651722260853</v>
      </c>
    </row>
    <row r="83" spans="1:6" x14ac:dyDescent="0.3">
      <c r="A83">
        <f t="shared" si="6"/>
        <v>281</v>
      </c>
      <c r="B83" s="2">
        <f t="shared" si="7"/>
        <v>48580</v>
      </c>
      <c r="C83">
        <f t="shared" si="8"/>
        <v>224.68483419900005</v>
      </c>
      <c r="D83">
        <f t="shared" si="9"/>
        <v>160.86516580099996</v>
      </c>
      <c r="E83">
        <f t="shared" si="10"/>
        <v>385.55</v>
      </c>
      <c r="F83">
        <f t="shared" si="11"/>
        <v>83704.966888061856</v>
      </c>
    </row>
    <row r="84" spans="1:6" x14ac:dyDescent="0.3">
      <c r="A84">
        <f t="shared" si="6"/>
        <v>280</v>
      </c>
      <c r="B84" s="2">
        <f t="shared" si="7"/>
        <v>48611</v>
      </c>
      <c r="C84">
        <f t="shared" si="8"/>
        <v>225.11548013121481</v>
      </c>
      <c r="D84">
        <f t="shared" si="9"/>
        <v>160.4345198687852</v>
      </c>
      <c r="E84">
        <f t="shared" si="10"/>
        <v>385.55</v>
      </c>
      <c r="F84">
        <f t="shared" si="11"/>
        <v>83479.851407930648</v>
      </c>
    </row>
    <row r="85" spans="1:6" x14ac:dyDescent="0.3">
      <c r="A85">
        <f t="shared" si="6"/>
        <v>279</v>
      </c>
      <c r="B85" s="2">
        <f t="shared" si="7"/>
        <v>48639</v>
      </c>
      <c r="C85">
        <f t="shared" si="8"/>
        <v>225.54695146813293</v>
      </c>
      <c r="D85">
        <f t="shared" si="9"/>
        <v>160.00304853186708</v>
      </c>
      <c r="E85">
        <f t="shared" si="10"/>
        <v>385.55</v>
      </c>
      <c r="F85">
        <f t="shared" si="11"/>
        <v>83254.304456462516</v>
      </c>
    </row>
    <row r="86" spans="1:6" x14ac:dyDescent="0.3">
      <c r="A86">
        <f t="shared" si="6"/>
        <v>278</v>
      </c>
      <c r="B86" s="2">
        <f t="shared" si="7"/>
        <v>48670</v>
      </c>
      <c r="C86">
        <f t="shared" si="8"/>
        <v>225.97924979178018</v>
      </c>
      <c r="D86">
        <f t="shared" si="9"/>
        <v>159.57075020821983</v>
      </c>
      <c r="E86">
        <f t="shared" si="10"/>
        <v>385.55</v>
      </c>
      <c r="F86">
        <f t="shared" si="11"/>
        <v>83028.325206670735</v>
      </c>
    </row>
    <row r="87" spans="1:6" x14ac:dyDescent="0.3">
      <c r="A87">
        <f t="shared" si="6"/>
        <v>277</v>
      </c>
      <c r="B87" s="2">
        <f t="shared" si="7"/>
        <v>48700</v>
      </c>
      <c r="C87">
        <f t="shared" si="8"/>
        <v>226.41237668721445</v>
      </c>
      <c r="D87">
        <f t="shared" si="9"/>
        <v>159.13762331278556</v>
      </c>
      <c r="E87">
        <f t="shared" si="10"/>
        <v>385.55</v>
      </c>
      <c r="F87">
        <f t="shared" si="11"/>
        <v>82801.912829983514</v>
      </c>
    </row>
    <row r="88" spans="1:6" x14ac:dyDescent="0.3">
      <c r="A88">
        <f t="shared" si="6"/>
        <v>276</v>
      </c>
      <c r="B88" s="2">
        <f t="shared" si="7"/>
        <v>48731</v>
      </c>
      <c r="C88">
        <f t="shared" si="8"/>
        <v>226.84633374253161</v>
      </c>
      <c r="D88">
        <f t="shared" si="9"/>
        <v>158.7036662574684</v>
      </c>
      <c r="E88">
        <f t="shared" si="10"/>
        <v>385.55</v>
      </c>
      <c r="F88">
        <f t="shared" si="11"/>
        <v>82575.066496240979</v>
      </c>
    </row>
    <row r="89" spans="1:6" x14ac:dyDescent="0.3">
      <c r="A89">
        <f t="shared" si="6"/>
        <v>275</v>
      </c>
      <c r="B89" s="2">
        <f t="shared" si="7"/>
        <v>48761</v>
      </c>
      <c r="C89">
        <f t="shared" si="8"/>
        <v>227.28112254887148</v>
      </c>
      <c r="D89">
        <f t="shared" si="9"/>
        <v>158.26887745112853</v>
      </c>
      <c r="E89">
        <f t="shared" si="10"/>
        <v>385.55</v>
      </c>
      <c r="F89">
        <f t="shared" si="11"/>
        <v>82347.78537369211</v>
      </c>
    </row>
    <row r="90" spans="1:6" x14ac:dyDescent="0.3">
      <c r="A90">
        <f t="shared" si="6"/>
        <v>274</v>
      </c>
      <c r="B90" s="2">
        <f t="shared" si="7"/>
        <v>48792</v>
      </c>
      <c r="C90">
        <f t="shared" si="8"/>
        <v>227.71674470042348</v>
      </c>
      <c r="D90">
        <f t="shared" si="9"/>
        <v>157.83325529957654</v>
      </c>
      <c r="E90">
        <f t="shared" si="10"/>
        <v>385.55</v>
      </c>
      <c r="F90">
        <f t="shared" si="11"/>
        <v>82120.068628991692</v>
      </c>
    </row>
    <row r="91" spans="1:6" x14ac:dyDescent="0.3">
      <c r="A91">
        <f t="shared" si="6"/>
        <v>273</v>
      </c>
      <c r="B91" s="2">
        <f t="shared" si="7"/>
        <v>48823</v>
      </c>
      <c r="C91">
        <f t="shared" si="8"/>
        <v>228.15320179443259</v>
      </c>
      <c r="D91">
        <f t="shared" si="9"/>
        <v>157.39679820556742</v>
      </c>
      <c r="E91">
        <f t="shared" si="10"/>
        <v>385.55</v>
      </c>
      <c r="F91">
        <f t="shared" si="11"/>
        <v>81891.915427197266</v>
      </c>
    </row>
    <row r="92" spans="1:6" x14ac:dyDescent="0.3">
      <c r="A92">
        <f t="shared" si="6"/>
        <v>272</v>
      </c>
      <c r="B92" s="2">
        <f t="shared" si="7"/>
        <v>48853</v>
      </c>
      <c r="C92">
        <f t="shared" si="8"/>
        <v>228.59049543120526</v>
      </c>
      <c r="D92">
        <f t="shared" si="9"/>
        <v>156.95950456879476</v>
      </c>
      <c r="E92">
        <f t="shared" si="10"/>
        <v>385.55</v>
      </c>
      <c r="F92">
        <f t="shared" si="11"/>
        <v>81663.324931766067</v>
      </c>
    </row>
    <row r="93" spans="1:6" x14ac:dyDescent="0.3">
      <c r="A93">
        <f t="shared" si="6"/>
        <v>271</v>
      </c>
      <c r="B93" s="2">
        <f t="shared" si="7"/>
        <v>48884</v>
      </c>
      <c r="C93">
        <f t="shared" si="8"/>
        <v>229.02862721411506</v>
      </c>
      <c r="D93">
        <f t="shared" si="9"/>
        <v>156.52137278588495</v>
      </c>
      <c r="E93">
        <f t="shared" si="10"/>
        <v>385.55</v>
      </c>
      <c r="F93">
        <f t="shared" si="11"/>
        <v>81434.296304551957</v>
      </c>
    </row>
    <row r="94" spans="1:6" x14ac:dyDescent="0.3">
      <c r="A94">
        <f t="shared" si="6"/>
        <v>270</v>
      </c>
      <c r="B94" s="2">
        <f t="shared" si="7"/>
        <v>48914</v>
      </c>
      <c r="C94">
        <f t="shared" si="8"/>
        <v>229.46759874960875</v>
      </c>
      <c r="D94">
        <f t="shared" si="9"/>
        <v>156.08240125039126</v>
      </c>
      <c r="E94">
        <f t="shared" si="10"/>
        <v>385.55</v>
      </c>
      <c r="F94">
        <f t="shared" si="11"/>
        <v>81204.828705802342</v>
      </c>
    </row>
    <row r="95" spans="1:6" x14ac:dyDescent="0.3">
      <c r="A95">
        <f t="shared" si="6"/>
        <v>269</v>
      </c>
      <c r="B95" s="2">
        <f t="shared" si="7"/>
        <v>48945</v>
      </c>
      <c r="C95">
        <f t="shared" si="8"/>
        <v>229.9074116472122</v>
      </c>
      <c r="D95">
        <f t="shared" si="9"/>
        <v>155.64258835278781</v>
      </c>
      <c r="E95">
        <f t="shared" si="10"/>
        <v>385.55</v>
      </c>
      <c r="F95">
        <f t="shared" si="11"/>
        <v>80974.921294155123</v>
      </c>
    </row>
    <row r="96" spans="1:6" x14ac:dyDescent="0.3">
      <c r="A96">
        <f t="shared" si="6"/>
        <v>268</v>
      </c>
      <c r="B96" s="2">
        <f t="shared" si="7"/>
        <v>48976</v>
      </c>
      <c r="C96">
        <f t="shared" si="8"/>
        <v>230.34806751953604</v>
      </c>
      <c r="D96">
        <f t="shared" si="9"/>
        <v>155.20193248046397</v>
      </c>
      <c r="E96">
        <f t="shared" si="10"/>
        <v>385.55</v>
      </c>
      <c r="F96">
        <f t="shared" si="11"/>
        <v>80744.573226635592</v>
      </c>
    </row>
    <row r="97" spans="1:6" x14ac:dyDescent="0.3">
      <c r="A97">
        <f t="shared" si="6"/>
        <v>267</v>
      </c>
      <c r="B97" s="2">
        <f t="shared" si="7"/>
        <v>49004</v>
      </c>
      <c r="C97">
        <f t="shared" si="8"/>
        <v>230.7895679822818</v>
      </c>
      <c r="D97">
        <f t="shared" si="9"/>
        <v>154.76043201771822</v>
      </c>
      <c r="E97">
        <f t="shared" si="10"/>
        <v>385.55</v>
      </c>
      <c r="F97">
        <f t="shared" si="11"/>
        <v>80513.783658653309</v>
      </c>
    </row>
    <row r="98" spans="1:6" x14ac:dyDescent="0.3">
      <c r="A98">
        <f t="shared" si="6"/>
        <v>266</v>
      </c>
      <c r="B98" s="2">
        <f t="shared" si="7"/>
        <v>49035</v>
      </c>
      <c r="C98">
        <f t="shared" si="8"/>
        <v>231.23191465424784</v>
      </c>
      <c r="D98">
        <f t="shared" si="9"/>
        <v>154.31808534575217</v>
      </c>
      <c r="E98">
        <f t="shared" si="10"/>
        <v>385.55</v>
      </c>
      <c r="F98">
        <f t="shared" si="11"/>
        <v>80282.551743999065</v>
      </c>
    </row>
    <row r="99" spans="1:6" x14ac:dyDescent="0.3">
      <c r="A99">
        <f t="shared" si="6"/>
        <v>265</v>
      </c>
      <c r="B99" s="2">
        <f t="shared" si="7"/>
        <v>49065</v>
      </c>
      <c r="C99">
        <f t="shared" si="8"/>
        <v>231.67510915733513</v>
      </c>
      <c r="D99">
        <f t="shared" si="9"/>
        <v>153.87489084266488</v>
      </c>
      <c r="E99">
        <f t="shared" si="10"/>
        <v>385.55</v>
      </c>
      <c r="F99">
        <f t="shared" si="11"/>
        <v>80050.876634841727</v>
      </c>
    </row>
    <row r="100" spans="1:6" x14ac:dyDescent="0.3">
      <c r="A100">
        <f t="shared" si="6"/>
        <v>264</v>
      </c>
      <c r="B100" s="2">
        <f t="shared" si="7"/>
        <v>49096</v>
      </c>
      <c r="C100">
        <f t="shared" si="8"/>
        <v>232.11915311655338</v>
      </c>
      <c r="D100">
        <f t="shared" si="9"/>
        <v>153.43084688344663</v>
      </c>
      <c r="E100">
        <f t="shared" si="10"/>
        <v>385.55</v>
      </c>
      <c r="F100">
        <f t="shared" si="11"/>
        <v>79818.757481725173</v>
      </c>
    </row>
    <row r="101" spans="1:6" x14ac:dyDescent="0.3">
      <c r="A101">
        <f t="shared" si="6"/>
        <v>263</v>
      </c>
      <c r="B101" s="2">
        <f t="shared" si="7"/>
        <v>49126</v>
      </c>
      <c r="C101">
        <f t="shared" si="8"/>
        <v>232.56404816002677</v>
      </c>
      <c r="D101">
        <f t="shared" si="9"/>
        <v>152.98595183997324</v>
      </c>
      <c r="E101">
        <f t="shared" si="10"/>
        <v>385.55</v>
      </c>
      <c r="F101">
        <f t="shared" si="11"/>
        <v>79586.193433565146</v>
      </c>
    </row>
    <row r="102" spans="1:6" x14ac:dyDescent="0.3">
      <c r="A102">
        <f t="shared" si="6"/>
        <v>262</v>
      </c>
      <c r="B102" s="2">
        <f t="shared" si="7"/>
        <v>49157</v>
      </c>
      <c r="C102">
        <f t="shared" si="8"/>
        <v>233.00979591900014</v>
      </c>
      <c r="D102">
        <f t="shared" si="9"/>
        <v>152.54020408099987</v>
      </c>
      <c r="E102">
        <f t="shared" si="10"/>
        <v>385.55</v>
      </c>
      <c r="F102">
        <f t="shared" si="11"/>
        <v>79353.183637646143</v>
      </c>
    </row>
    <row r="103" spans="1:6" x14ac:dyDescent="0.3">
      <c r="A103">
        <f t="shared" si="6"/>
        <v>261</v>
      </c>
      <c r="B103" s="2">
        <f t="shared" si="7"/>
        <v>49188</v>
      </c>
      <c r="C103">
        <f t="shared" si="8"/>
        <v>233.4563980278449</v>
      </c>
      <c r="D103">
        <f t="shared" si="9"/>
        <v>152.09360197215511</v>
      </c>
      <c r="E103">
        <f t="shared" si="10"/>
        <v>385.55</v>
      </c>
      <c r="F103">
        <f t="shared" si="11"/>
        <v>79119.727239618296</v>
      </c>
    </row>
    <row r="104" spans="1:6" x14ac:dyDescent="0.3">
      <c r="A104">
        <f t="shared" si="6"/>
        <v>260</v>
      </c>
      <c r="B104" s="2">
        <f t="shared" si="7"/>
        <v>49218</v>
      </c>
      <c r="C104">
        <f t="shared" si="8"/>
        <v>233.90385612406496</v>
      </c>
      <c r="D104">
        <f t="shared" si="9"/>
        <v>151.64614387593505</v>
      </c>
      <c r="E104">
        <f t="shared" si="10"/>
        <v>385.55</v>
      </c>
      <c r="F104">
        <f t="shared" si="11"/>
        <v>78885.823383494237</v>
      </c>
    </row>
    <row r="105" spans="1:6" x14ac:dyDescent="0.3">
      <c r="A105">
        <f t="shared" si="6"/>
        <v>259</v>
      </c>
      <c r="B105" s="2">
        <f t="shared" si="7"/>
        <v>49249</v>
      </c>
      <c r="C105">
        <f t="shared" si="8"/>
        <v>234.35217184830273</v>
      </c>
      <c r="D105">
        <f t="shared" si="9"/>
        <v>151.19782815169728</v>
      </c>
      <c r="E105">
        <f t="shared" si="10"/>
        <v>385.55</v>
      </c>
      <c r="F105">
        <f t="shared" si="11"/>
        <v>78651.471211645927</v>
      </c>
    </row>
    <row r="106" spans="1:6" x14ac:dyDescent="0.3">
      <c r="A106">
        <f t="shared" si="6"/>
        <v>258</v>
      </c>
      <c r="B106" s="2">
        <f t="shared" si="7"/>
        <v>49279</v>
      </c>
      <c r="C106">
        <f t="shared" si="8"/>
        <v>234.80134684434532</v>
      </c>
      <c r="D106">
        <f t="shared" si="9"/>
        <v>150.74865315565469</v>
      </c>
      <c r="E106">
        <f t="shared" si="10"/>
        <v>385.55</v>
      </c>
      <c r="F106">
        <f t="shared" si="11"/>
        <v>78416.669864801588</v>
      </c>
    </row>
    <row r="107" spans="1:6" x14ac:dyDescent="0.3">
      <c r="A107">
        <f t="shared" si="6"/>
        <v>257</v>
      </c>
      <c r="B107" s="2">
        <f t="shared" si="7"/>
        <v>49310</v>
      </c>
      <c r="C107">
        <f t="shared" si="8"/>
        <v>235.25138275913031</v>
      </c>
      <c r="D107">
        <f t="shared" si="9"/>
        <v>150.2986172408697</v>
      </c>
      <c r="E107">
        <f t="shared" si="10"/>
        <v>385.55</v>
      </c>
      <c r="F107">
        <f t="shared" si="11"/>
        <v>78181.418482042456</v>
      </c>
    </row>
    <row r="108" spans="1:6" x14ac:dyDescent="0.3">
      <c r="A108">
        <f t="shared" si="6"/>
        <v>256</v>
      </c>
      <c r="B108" s="2">
        <f t="shared" si="7"/>
        <v>49341</v>
      </c>
      <c r="C108">
        <f t="shared" si="8"/>
        <v>235.70228124275198</v>
      </c>
      <c r="D108">
        <f t="shared" si="9"/>
        <v>149.84771875724803</v>
      </c>
      <c r="E108">
        <f t="shared" si="10"/>
        <v>385.55</v>
      </c>
      <c r="F108">
        <f t="shared" si="11"/>
        <v>77945.71620079971</v>
      </c>
    </row>
    <row r="109" spans="1:6" x14ac:dyDescent="0.3">
      <c r="A109">
        <f t="shared" si="6"/>
        <v>255</v>
      </c>
      <c r="B109" s="2">
        <f t="shared" si="7"/>
        <v>49369</v>
      </c>
      <c r="C109">
        <f t="shared" si="8"/>
        <v>236.15404394846723</v>
      </c>
      <c r="D109">
        <f t="shared" si="9"/>
        <v>149.39595605153278</v>
      </c>
      <c r="E109">
        <f t="shared" si="10"/>
        <v>385.55</v>
      </c>
      <c r="F109">
        <f t="shared" si="11"/>
        <v>77709.562156851243</v>
      </c>
    </row>
    <row r="110" spans="1:6" x14ac:dyDescent="0.3">
      <c r="A110">
        <f t="shared" si="6"/>
        <v>254</v>
      </c>
      <c r="B110" s="2">
        <f t="shared" si="7"/>
        <v>49400</v>
      </c>
      <c r="C110">
        <f t="shared" si="8"/>
        <v>236.60667253270179</v>
      </c>
      <c r="D110">
        <f t="shared" si="9"/>
        <v>148.94332746729822</v>
      </c>
      <c r="E110">
        <f t="shared" si="10"/>
        <v>385.55</v>
      </c>
      <c r="F110">
        <f t="shared" si="11"/>
        <v>77472.955484318547</v>
      </c>
    </row>
    <row r="111" spans="1:6" x14ac:dyDescent="0.3">
      <c r="A111">
        <f t="shared" si="6"/>
        <v>253</v>
      </c>
      <c r="B111" s="2">
        <f t="shared" si="7"/>
        <v>49430</v>
      </c>
      <c r="C111">
        <f t="shared" si="8"/>
        <v>237.06016865505612</v>
      </c>
      <c r="D111">
        <f t="shared" si="9"/>
        <v>148.48983134494389</v>
      </c>
      <c r="E111">
        <f t="shared" si="10"/>
        <v>385.55</v>
      </c>
      <c r="F111">
        <f t="shared" si="11"/>
        <v>77235.895315663496</v>
      </c>
    </row>
    <row r="112" spans="1:6" x14ac:dyDescent="0.3">
      <c r="A112">
        <f t="shared" si="6"/>
        <v>252</v>
      </c>
      <c r="B112" s="2">
        <f t="shared" si="7"/>
        <v>49461</v>
      </c>
      <c r="C112">
        <f t="shared" si="8"/>
        <v>237.51453397831165</v>
      </c>
      <c r="D112">
        <f t="shared" si="9"/>
        <v>148.03546602168836</v>
      </c>
      <c r="E112">
        <f t="shared" si="10"/>
        <v>385.55</v>
      </c>
      <c r="F112">
        <f t="shared" si="11"/>
        <v>76998.380781685191</v>
      </c>
    </row>
    <row r="113" spans="1:6" x14ac:dyDescent="0.3">
      <c r="A113">
        <f t="shared" si="6"/>
        <v>251</v>
      </c>
      <c r="B113" s="2">
        <f t="shared" si="7"/>
        <v>49491</v>
      </c>
      <c r="C113">
        <f t="shared" si="8"/>
        <v>237.96977016843672</v>
      </c>
      <c r="D113">
        <f t="shared" si="9"/>
        <v>147.58022983156329</v>
      </c>
      <c r="E113">
        <f t="shared" si="10"/>
        <v>385.55</v>
      </c>
      <c r="F113">
        <f t="shared" si="11"/>
        <v>76760.411011516757</v>
      </c>
    </row>
    <row r="114" spans="1:6" x14ac:dyDescent="0.3">
      <c r="A114">
        <f t="shared" si="6"/>
        <v>250</v>
      </c>
      <c r="B114" s="2">
        <f t="shared" si="7"/>
        <v>49522</v>
      </c>
      <c r="C114">
        <f t="shared" si="8"/>
        <v>238.4258788945929</v>
      </c>
      <c r="D114">
        <f t="shared" si="9"/>
        <v>147.12412110540711</v>
      </c>
      <c r="E114">
        <f t="shared" si="10"/>
        <v>385.55</v>
      </c>
      <c r="F114">
        <f t="shared" si="11"/>
        <v>76521.985132622169</v>
      </c>
    </row>
    <row r="115" spans="1:6" x14ac:dyDescent="0.3">
      <c r="A115">
        <f t="shared" si="6"/>
        <v>249</v>
      </c>
      <c r="B115" s="2">
        <f t="shared" si="7"/>
        <v>49553</v>
      </c>
      <c r="C115">
        <f t="shared" si="8"/>
        <v>238.88286182914086</v>
      </c>
      <c r="D115">
        <f t="shared" si="9"/>
        <v>146.66713817085915</v>
      </c>
      <c r="E115">
        <f t="shared" si="10"/>
        <v>385.55</v>
      </c>
      <c r="F115">
        <f t="shared" si="11"/>
        <v>76283.102270793024</v>
      </c>
    </row>
    <row r="116" spans="1:6" x14ac:dyDescent="0.3">
      <c r="A116">
        <f t="shared" si="6"/>
        <v>248</v>
      </c>
      <c r="B116" s="2">
        <f t="shared" si="7"/>
        <v>49583</v>
      </c>
      <c r="C116">
        <f t="shared" si="8"/>
        <v>239.34072064764672</v>
      </c>
      <c r="D116">
        <f t="shared" si="9"/>
        <v>146.20927935235329</v>
      </c>
      <c r="E116">
        <f t="shared" si="10"/>
        <v>385.55</v>
      </c>
      <c r="F116">
        <f t="shared" si="11"/>
        <v>76043.761550145384</v>
      </c>
    </row>
    <row r="117" spans="1:6" x14ac:dyDescent="0.3">
      <c r="A117">
        <f t="shared" si="6"/>
        <v>247</v>
      </c>
      <c r="B117" s="2">
        <f t="shared" si="7"/>
        <v>49614</v>
      </c>
      <c r="C117">
        <f t="shared" si="8"/>
        <v>239.79945702888804</v>
      </c>
      <c r="D117">
        <f t="shared" si="9"/>
        <v>145.75054297111197</v>
      </c>
      <c r="E117">
        <f t="shared" si="10"/>
        <v>385.55</v>
      </c>
      <c r="F117">
        <f t="shared" si="11"/>
        <v>75803.962093116497</v>
      </c>
    </row>
    <row r="118" spans="1:6" x14ac:dyDescent="0.3">
      <c r="A118">
        <f t="shared" si="6"/>
        <v>246</v>
      </c>
      <c r="B118" s="2">
        <f t="shared" si="7"/>
        <v>49644</v>
      </c>
      <c r="C118">
        <f t="shared" si="8"/>
        <v>240.25907265486006</v>
      </c>
      <c r="D118">
        <f t="shared" si="9"/>
        <v>145.29092734513995</v>
      </c>
      <c r="E118">
        <f t="shared" si="10"/>
        <v>385.55</v>
      </c>
      <c r="F118">
        <f t="shared" si="11"/>
        <v>75563.703020461631</v>
      </c>
    </row>
    <row r="119" spans="1:6" x14ac:dyDescent="0.3">
      <c r="A119">
        <f t="shared" si="6"/>
        <v>245</v>
      </c>
      <c r="B119" s="2">
        <f t="shared" si="7"/>
        <v>49675</v>
      </c>
      <c r="C119">
        <f t="shared" si="8"/>
        <v>240.71956921078188</v>
      </c>
      <c r="D119">
        <f t="shared" si="9"/>
        <v>144.83043078921813</v>
      </c>
      <c r="E119">
        <f t="shared" si="10"/>
        <v>385.55</v>
      </c>
      <c r="F119">
        <f t="shared" si="11"/>
        <v>75322.983451250853</v>
      </c>
    </row>
    <row r="120" spans="1:6" x14ac:dyDescent="0.3">
      <c r="A120">
        <f t="shared" si="6"/>
        <v>244</v>
      </c>
      <c r="B120" s="2">
        <f t="shared" si="7"/>
        <v>49706</v>
      </c>
      <c r="C120">
        <f t="shared" si="8"/>
        <v>241.18094838510254</v>
      </c>
      <c r="D120">
        <f t="shared" si="9"/>
        <v>144.36905161489747</v>
      </c>
      <c r="E120">
        <f t="shared" si="10"/>
        <v>385.55</v>
      </c>
      <c r="F120">
        <f t="shared" si="11"/>
        <v>75081.802502865758</v>
      </c>
    </row>
    <row r="121" spans="1:6" x14ac:dyDescent="0.3">
      <c r="A121">
        <f t="shared" si="6"/>
        <v>243</v>
      </c>
      <c r="B121" s="2">
        <f t="shared" si="7"/>
        <v>49735</v>
      </c>
      <c r="C121">
        <f t="shared" si="8"/>
        <v>241.64321186950733</v>
      </c>
      <c r="D121">
        <f t="shared" si="9"/>
        <v>143.90678813049269</v>
      </c>
      <c r="E121">
        <f t="shared" si="10"/>
        <v>385.55</v>
      </c>
      <c r="F121">
        <f t="shared" si="11"/>
        <v>74840.159290996249</v>
      </c>
    </row>
    <row r="122" spans="1:6" x14ac:dyDescent="0.3">
      <c r="A122">
        <f t="shared" si="6"/>
        <v>242</v>
      </c>
      <c r="B122" s="2">
        <f t="shared" si="7"/>
        <v>49766</v>
      </c>
      <c r="C122">
        <f t="shared" si="8"/>
        <v>242.10636135892386</v>
      </c>
      <c r="D122">
        <f t="shared" si="9"/>
        <v>143.44363864107615</v>
      </c>
      <c r="E122">
        <f t="shared" si="10"/>
        <v>385.55</v>
      </c>
      <c r="F122">
        <f t="shared" si="11"/>
        <v>74598.052929637328</v>
      </c>
    </row>
    <row r="123" spans="1:6" x14ac:dyDescent="0.3">
      <c r="A123">
        <f t="shared" si="6"/>
        <v>241</v>
      </c>
      <c r="B123" s="2">
        <f t="shared" si="7"/>
        <v>49796</v>
      </c>
      <c r="C123">
        <f t="shared" si="8"/>
        <v>242.57039855152848</v>
      </c>
      <c r="D123">
        <f t="shared" si="9"/>
        <v>142.97960144847153</v>
      </c>
      <c r="E123">
        <f t="shared" si="10"/>
        <v>385.55</v>
      </c>
      <c r="F123">
        <f t="shared" si="11"/>
        <v>74355.4825310858</v>
      </c>
    </row>
    <row r="124" spans="1:6" x14ac:dyDescent="0.3">
      <c r="A124">
        <f t="shared" si="6"/>
        <v>240</v>
      </c>
      <c r="B124" s="2">
        <f t="shared" si="7"/>
        <v>49827</v>
      </c>
      <c r="C124">
        <f t="shared" si="8"/>
        <v>243.03532514875224</v>
      </c>
      <c r="D124">
        <f t="shared" si="9"/>
        <v>142.51467485124778</v>
      </c>
      <c r="E124">
        <f t="shared" si="10"/>
        <v>385.55</v>
      </c>
      <c r="F124">
        <f t="shared" si="11"/>
        <v>74112.447205937046</v>
      </c>
    </row>
    <row r="125" spans="1:6" x14ac:dyDescent="0.3">
      <c r="A125">
        <f t="shared" si="6"/>
        <v>239</v>
      </c>
      <c r="B125" s="2">
        <f t="shared" si="7"/>
        <v>49857</v>
      </c>
      <c r="C125">
        <f t="shared" si="8"/>
        <v>243.50114285528733</v>
      </c>
      <c r="D125">
        <f t="shared" si="9"/>
        <v>142.04885714471268</v>
      </c>
      <c r="E125">
        <f t="shared" si="10"/>
        <v>385.55</v>
      </c>
      <c r="F125">
        <f t="shared" si="11"/>
        <v>73868.946063081763</v>
      </c>
    </row>
    <row r="126" spans="1:6" x14ac:dyDescent="0.3">
      <c r="A126">
        <f t="shared" si="6"/>
        <v>238</v>
      </c>
      <c r="B126" s="2">
        <f t="shared" si="7"/>
        <v>49888</v>
      </c>
      <c r="C126">
        <f t="shared" si="8"/>
        <v>243.9678533790933</v>
      </c>
      <c r="D126">
        <f t="shared" si="9"/>
        <v>141.58214662090671</v>
      </c>
      <c r="E126">
        <f t="shared" si="10"/>
        <v>385.55</v>
      </c>
      <c r="F126">
        <f t="shared" si="11"/>
        <v>73624.978209702676</v>
      </c>
    </row>
    <row r="127" spans="1:6" x14ac:dyDescent="0.3">
      <c r="A127">
        <f t="shared" si="6"/>
        <v>237</v>
      </c>
      <c r="B127" s="2">
        <f t="shared" si="7"/>
        <v>49919</v>
      </c>
      <c r="C127">
        <f t="shared" si="8"/>
        <v>244.43545843140322</v>
      </c>
      <c r="D127">
        <f t="shared" si="9"/>
        <v>141.11454156859679</v>
      </c>
      <c r="E127">
        <f t="shared" si="10"/>
        <v>385.55</v>
      </c>
      <c r="F127">
        <f t="shared" si="11"/>
        <v>73380.542751271278</v>
      </c>
    </row>
    <row r="128" spans="1:6" x14ac:dyDescent="0.3">
      <c r="A128">
        <f t="shared" si="6"/>
        <v>236</v>
      </c>
      <c r="B128" s="2">
        <f t="shared" si="7"/>
        <v>49949</v>
      </c>
      <c r="C128">
        <f t="shared" si="8"/>
        <v>244.90395972673005</v>
      </c>
      <c r="D128">
        <f t="shared" si="9"/>
        <v>140.64604027326996</v>
      </c>
      <c r="E128">
        <f t="shared" si="10"/>
        <v>385.55</v>
      </c>
      <c r="F128">
        <f t="shared" si="11"/>
        <v>73135.638791544552</v>
      </c>
    </row>
    <row r="129" spans="1:6" x14ac:dyDescent="0.3">
      <c r="A129">
        <f t="shared" si="6"/>
        <v>235</v>
      </c>
      <c r="B129" s="2">
        <f t="shared" si="7"/>
        <v>49980</v>
      </c>
      <c r="C129">
        <f t="shared" si="8"/>
        <v>245.37335898287296</v>
      </c>
      <c r="D129">
        <f t="shared" si="9"/>
        <v>140.17664101712705</v>
      </c>
      <c r="E129">
        <f t="shared" si="10"/>
        <v>385.55</v>
      </c>
      <c r="F129">
        <f t="shared" si="11"/>
        <v>72890.265432561675</v>
      </c>
    </row>
    <row r="130" spans="1:6" x14ac:dyDescent="0.3">
      <c r="A130">
        <f t="shared" si="6"/>
        <v>234</v>
      </c>
      <c r="B130" s="2">
        <f t="shared" si="7"/>
        <v>50010</v>
      </c>
      <c r="C130">
        <f t="shared" si="8"/>
        <v>245.84365792092348</v>
      </c>
      <c r="D130">
        <f t="shared" si="9"/>
        <v>139.70634207907653</v>
      </c>
      <c r="E130">
        <f t="shared" si="10"/>
        <v>385.55</v>
      </c>
      <c r="F130">
        <f t="shared" si="11"/>
        <v>72644.421774640752</v>
      </c>
    </row>
    <row r="131" spans="1:6" x14ac:dyDescent="0.3">
      <c r="A131">
        <f t="shared" si="6"/>
        <v>233</v>
      </c>
      <c r="B131" s="2">
        <f t="shared" si="7"/>
        <v>50041</v>
      </c>
      <c r="C131">
        <f t="shared" si="8"/>
        <v>246.31485826527191</v>
      </c>
      <c r="D131">
        <f t="shared" si="9"/>
        <v>139.2351417347281</v>
      </c>
      <c r="E131">
        <f t="shared" si="10"/>
        <v>385.55</v>
      </c>
      <c r="F131">
        <f t="shared" si="11"/>
        <v>72398.106916375487</v>
      </c>
    </row>
    <row r="132" spans="1:6" x14ac:dyDescent="0.3">
      <c r="A132">
        <f t="shared" si="6"/>
        <v>232</v>
      </c>
      <c r="B132" s="2">
        <f t="shared" si="7"/>
        <v>50072</v>
      </c>
      <c r="C132">
        <f t="shared" si="8"/>
        <v>246.78696174361366</v>
      </c>
      <c r="D132">
        <f t="shared" si="9"/>
        <v>138.76303825638635</v>
      </c>
      <c r="E132">
        <f t="shared" si="10"/>
        <v>385.55</v>
      </c>
      <c r="F132">
        <f t="shared" si="11"/>
        <v>72151.319954631879</v>
      </c>
    </row>
    <row r="133" spans="1:6" x14ac:dyDescent="0.3">
      <c r="A133">
        <f t="shared" si="6"/>
        <v>231</v>
      </c>
      <c r="B133" s="2">
        <f t="shared" si="7"/>
        <v>50100</v>
      </c>
      <c r="C133">
        <f t="shared" si="8"/>
        <v>247.25997008695558</v>
      </c>
      <c r="D133">
        <f t="shared" si="9"/>
        <v>138.29002991304444</v>
      </c>
      <c r="E133">
        <f t="shared" si="10"/>
        <v>385.55</v>
      </c>
      <c r="F133">
        <f t="shared" si="11"/>
        <v>71904.059984544918</v>
      </c>
    </row>
    <row r="134" spans="1:6" x14ac:dyDescent="0.3">
      <c r="A134">
        <f t="shared" si="6"/>
        <v>230</v>
      </c>
      <c r="B134" s="2">
        <f t="shared" si="7"/>
        <v>50131</v>
      </c>
      <c r="C134">
        <f t="shared" si="8"/>
        <v>247.73388502962226</v>
      </c>
      <c r="D134">
        <f t="shared" si="9"/>
        <v>137.81611497037775</v>
      </c>
      <c r="E134">
        <f t="shared" si="10"/>
        <v>385.55</v>
      </c>
      <c r="F134">
        <f t="shared" si="11"/>
        <v>71656.326099515296</v>
      </c>
    </row>
    <row r="135" spans="1:6" x14ac:dyDescent="0.3">
      <c r="A135">
        <f t="shared" ref="A135:A198" si="12">A134-1</f>
        <v>229</v>
      </c>
      <c r="B135" s="2">
        <f t="shared" si="7"/>
        <v>50161</v>
      </c>
      <c r="C135">
        <f t="shared" si="8"/>
        <v>248.20870830926236</v>
      </c>
      <c r="D135">
        <f t="shared" si="9"/>
        <v>137.34129169073765</v>
      </c>
      <c r="E135">
        <f t="shared" si="10"/>
        <v>385.55</v>
      </c>
      <c r="F135">
        <f t="shared" si="11"/>
        <v>71408.117391206033</v>
      </c>
    </row>
    <row r="136" spans="1:6" x14ac:dyDescent="0.3">
      <c r="A136">
        <f t="shared" si="12"/>
        <v>228</v>
      </c>
      <c r="B136" s="2">
        <f t="shared" ref="B136:B199" si="13">EDATE(B135,1)</f>
        <v>50192</v>
      </c>
      <c r="C136">
        <f t="shared" ref="C136:C199" si="14">$C$2-D136</f>
        <v>248.68444166685512</v>
      </c>
      <c r="D136">
        <f t="shared" ref="D136:D199" si="15">F135*$B$2/12</f>
        <v>136.86555833314489</v>
      </c>
      <c r="E136">
        <f t="shared" ref="E136:E199" si="16">$C$2</f>
        <v>385.55</v>
      </c>
      <c r="F136">
        <f t="shared" ref="F136:F199" si="17">F135-C136</f>
        <v>71159.432949539172</v>
      </c>
    </row>
    <row r="137" spans="1:6" x14ac:dyDescent="0.3">
      <c r="A137">
        <f t="shared" si="12"/>
        <v>227</v>
      </c>
      <c r="B137" s="2">
        <f t="shared" si="13"/>
        <v>50222</v>
      </c>
      <c r="C137">
        <f t="shared" si="14"/>
        <v>249.16108684671659</v>
      </c>
      <c r="D137">
        <f t="shared" si="15"/>
        <v>136.38891315328343</v>
      </c>
      <c r="E137">
        <f t="shared" si="16"/>
        <v>385.55</v>
      </c>
      <c r="F137">
        <f t="shared" si="17"/>
        <v>70910.271862692462</v>
      </c>
    </row>
    <row r="138" spans="1:6" x14ac:dyDescent="0.3">
      <c r="A138">
        <f t="shared" si="12"/>
        <v>226</v>
      </c>
      <c r="B138" s="2">
        <f t="shared" si="13"/>
        <v>50253</v>
      </c>
      <c r="C138">
        <f t="shared" si="14"/>
        <v>249.63864559650614</v>
      </c>
      <c r="D138">
        <f t="shared" si="15"/>
        <v>135.91135440349387</v>
      </c>
      <c r="E138">
        <f t="shared" si="16"/>
        <v>385.55</v>
      </c>
      <c r="F138">
        <f t="shared" si="17"/>
        <v>70660.63321709595</v>
      </c>
    </row>
    <row r="139" spans="1:6" x14ac:dyDescent="0.3">
      <c r="A139">
        <f t="shared" si="12"/>
        <v>225</v>
      </c>
      <c r="B139" s="2">
        <f t="shared" si="13"/>
        <v>50284</v>
      </c>
      <c r="C139">
        <f t="shared" si="14"/>
        <v>250.11711966723277</v>
      </c>
      <c r="D139">
        <f t="shared" si="15"/>
        <v>135.43288033276724</v>
      </c>
      <c r="E139">
        <f t="shared" si="16"/>
        <v>385.55</v>
      </c>
      <c r="F139">
        <f t="shared" si="17"/>
        <v>70410.516097428714</v>
      </c>
    </row>
    <row r="140" spans="1:6" x14ac:dyDescent="0.3">
      <c r="A140">
        <f t="shared" si="12"/>
        <v>224</v>
      </c>
      <c r="B140" s="2">
        <f t="shared" si="13"/>
        <v>50314</v>
      </c>
      <c r="C140">
        <f t="shared" si="14"/>
        <v>250.59651081326163</v>
      </c>
      <c r="D140">
        <f t="shared" si="15"/>
        <v>134.95348918673838</v>
      </c>
      <c r="E140">
        <f t="shared" si="16"/>
        <v>385.55</v>
      </c>
      <c r="F140">
        <f t="shared" si="17"/>
        <v>70159.919586615448</v>
      </c>
    </row>
    <row r="141" spans="1:6" x14ac:dyDescent="0.3">
      <c r="A141">
        <f t="shared" si="12"/>
        <v>223</v>
      </c>
      <c r="B141" s="2">
        <f t="shared" si="13"/>
        <v>50345</v>
      </c>
      <c r="C141">
        <f t="shared" si="14"/>
        <v>251.0768207923204</v>
      </c>
      <c r="D141">
        <f t="shared" si="15"/>
        <v>134.47317920767961</v>
      </c>
      <c r="E141">
        <f t="shared" si="16"/>
        <v>385.55</v>
      </c>
      <c r="F141">
        <f t="shared" si="17"/>
        <v>69908.842765823123</v>
      </c>
    </row>
    <row r="142" spans="1:6" x14ac:dyDescent="0.3">
      <c r="A142">
        <f t="shared" si="12"/>
        <v>222</v>
      </c>
      <c r="B142" s="2">
        <f t="shared" si="13"/>
        <v>50375</v>
      </c>
      <c r="C142">
        <f t="shared" si="14"/>
        <v>251.55805136550569</v>
      </c>
      <c r="D142">
        <f t="shared" si="15"/>
        <v>133.99194863449432</v>
      </c>
      <c r="E142">
        <f t="shared" si="16"/>
        <v>385.55</v>
      </c>
      <c r="F142">
        <f t="shared" si="17"/>
        <v>69657.284714457623</v>
      </c>
    </row>
    <row r="143" spans="1:6" x14ac:dyDescent="0.3">
      <c r="A143">
        <f t="shared" si="12"/>
        <v>221</v>
      </c>
      <c r="B143" s="2">
        <f t="shared" si="13"/>
        <v>50406</v>
      </c>
      <c r="C143">
        <f t="shared" si="14"/>
        <v>252.04020429728956</v>
      </c>
      <c r="D143">
        <f t="shared" si="15"/>
        <v>133.50979570271045</v>
      </c>
      <c r="E143">
        <f t="shared" si="16"/>
        <v>385.55</v>
      </c>
      <c r="F143">
        <f t="shared" si="17"/>
        <v>69405.244510160337</v>
      </c>
    </row>
    <row r="144" spans="1:6" x14ac:dyDescent="0.3">
      <c r="A144">
        <f t="shared" si="12"/>
        <v>220</v>
      </c>
      <c r="B144" s="2">
        <f t="shared" si="13"/>
        <v>50437</v>
      </c>
      <c r="C144">
        <f t="shared" si="14"/>
        <v>252.52328135552605</v>
      </c>
      <c r="D144">
        <f t="shared" si="15"/>
        <v>133.02671864447396</v>
      </c>
      <c r="E144">
        <f t="shared" si="16"/>
        <v>385.55</v>
      </c>
      <c r="F144">
        <f t="shared" si="17"/>
        <v>69152.721228804818</v>
      </c>
    </row>
    <row r="145" spans="1:6" x14ac:dyDescent="0.3">
      <c r="A145">
        <f t="shared" si="12"/>
        <v>219</v>
      </c>
      <c r="B145" s="2">
        <f t="shared" si="13"/>
        <v>50465</v>
      </c>
      <c r="C145">
        <f t="shared" si="14"/>
        <v>253.00728431145745</v>
      </c>
      <c r="D145">
        <f t="shared" si="15"/>
        <v>132.54271568854256</v>
      </c>
      <c r="E145">
        <f t="shared" si="16"/>
        <v>385.55</v>
      </c>
      <c r="F145">
        <f t="shared" si="17"/>
        <v>68899.713944493356</v>
      </c>
    </row>
    <row r="146" spans="1:6" x14ac:dyDescent="0.3">
      <c r="A146">
        <f t="shared" si="12"/>
        <v>218</v>
      </c>
      <c r="B146" s="2">
        <f t="shared" si="13"/>
        <v>50496</v>
      </c>
      <c r="C146">
        <f t="shared" si="14"/>
        <v>253.49221493972109</v>
      </c>
      <c r="D146">
        <f t="shared" si="15"/>
        <v>132.05778506027892</v>
      </c>
      <c r="E146">
        <f t="shared" si="16"/>
        <v>385.55</v>
      </c>
      <c r="F146">
        <f t="shared" si="17"/>
        <v>68646.221729553639</v>
      </c>
    </row>
    <row r="147" spans="1:6" x14ac:dyDescent="0.3">
      <c r="A147">
        <f t="shared" si="12"/>
        <v>217</v>
      </c>
      <c r="B147" s="2">
        <f t="shared" si="13"/>
        <v>50526</v>
      </c>
      <c r="C147">
        <f t="shared" si="14"/>
        <v>253.97807501835555</v>
      </c>
      <c r="D147">
        <f t="shared" si="15"/>
        <v>131.57192498164446</v>
      </c>
      <c r="E147">
        <f t="shared" si="16"/>
        <v>385.55</v>
      </c>
      <c r="F147">
        <f t="shared" si="17"/>
        <v>68392.243654535283</v>
      </c>
    </row>
    <row r="148" spans="1:6" x14ac:dyDescent="0.3">
      <c r="A148">
        <f t="shared" si="12"/>
        <v>216</v>
      </c>
      <c r="B148" s="2">
        <f t="shared" si="13"/>
        <v>50557</v>
      </c>
      <c r="C148">
        <f t="shared" si="14"/>
        <v>254.4648663288074</v>
      </c>
      <c r="D148">
        <f t="shared" si="15"/>
        <v>131.08513367119261</v>
      </c>
      <c r="E148">
        <f t="shared" si="16"/>
        <v>385.55</v>
      </c>
      <c r="F148">
        <f t="shared" si="17"/>
        <v>68137.778788206473</v>
      </c>
    </row>
    <row r="149" spans="1:6" x14ac:dyDescent="0.3">
      <c r="A149">
        <f t="shared" si="12"/>
        <v>215</v>
      </c>
      <c r="B149" s="2">
        <f t="shared" si="13"/>
        <v>50587</v>
      </c>
      <c r="C149">
        <f t="shared" si="14"/>
        <v>254.9525906559376</v>
      </c>
      <c r="D149">
        <f t="shared" si="15"/>
        <v>130.59740934406241</v>
      </c>
      <c r="E149">
        <f t="shared" si="16"/>
        <v>385.55</v>
      </c>
      <c r="F149">
        <f t="shared" si="17"/>
        <v>67882.82619755053</v>
      </c>
    </row>
    <row r="150" spans="1:6" x14ac:dyDescent="0.3">
      <c r="A150">
        <f t="shared" si="12"/>
        <v>214</v>
      </c>
      <c r="B150" s="2">
        <f t="shared" si="13"/>
        <v>50618</v>
      </c>
      <c r="C150">
        <f t="shared" si="14"/>
        <v>255.44124978802816</v>
      </c>
      <c r="D150">
        <f t="shared" si="15"/>
        <v>130.10875021197185</v>
      </c>
      <c r="E150">
        <f t="shared" si="16"/>
        <v>385.55</v>
      </c>
      <c r="F150">
        <f t="shared" si="17"/>
        <v>67627.384947762504</v>
      </c>
    </row>
    <row r="151" spans="1:6" x14ac:dyDescent="0.3">
      <c r="A151">
        <f t="shared" si="12"/>
        <v>213</v>
      </c>
      <c r="B151" s="2">
        <f t="shared" si="13"/>
        <v>50649</v>
      </c>
      <c r="C151">
        <f t="shared" si="14"/>
        <v>255.93084551678854</v>
      </c>
      <c r="D151">
        <f t="shared" si="15"/>
        <v>129.61915448321147</v>
      </c>
      <c r="E151">
        <f t="shared" si="16"/>
        <v>385.55</v>
      </c>
      <c r="F151">
        <f t="shared" si="17"/>
        <v>67371.454102245712</v>
      </c>
    </row>
    <row r="152" spans="1:6" x14ac:dyDescent="0.3">
      <c r="A152">
        <f t="shared" si="12"/>
        <v>212</v>
      </c>
      <c r="B152" s="2">
        <f t="shared" si="13"/>
        <v>50679</v>
      </c>
      <c r="C152">
        <f t="shared" si="14"/>
        <v>256.42137963736241</v>
      </c>
      <c r="D152">
        <f t="shared" si="15"/>
        <v>129.12862036263761</v>
      </c>
      <c r="E152">
        <f t="shared" si="16"/>
        <v>385.55</v>
      </c>
      <c r="F152">
        <f t="shared" si="17"/>
        <v>67115.032722608346</v>
      </c>
    </row>
    <row r="153" spans="1:6" x14ac:dyDescent="0.3">
      <c r="A153">
        <f t="shared" si="12"/>
        <v>211</v>
      </c>
      <c r="B153" s="2">
        <f t="shared" si="13"/>
        <v>50710</v>
      </c>
      <c r="C153">
        <f t="shared" si="14"/>
        <v>256.91285394833403</v>
      </c>
      <c r="D153">
        <f t="shared" si="15"/>
        <v>128.63714605166601</v>
      </c>
      <c r="E153">
        <f t="shared" si="16"/>
        <v>385.55</v>
      </c>
      <c r="F153">
        <f t="shared" si="17"/>
        <v>66858.119868660011</v>
      </c>
    </row>
    <row r="154" spans="1:6" x14ac:dyDescent="0.3">
      <c r="A154">
        <f t="shared" si="12"/>
        <v>210</v>
      </c>
      <c r="B154" s="2">
        <f t="shared" si="13"/>
        <v>50740</v>
      </c>
      <c r="C154">
        <f t="shared" si="14"/>
        <v>257.40527025173503</v>
      </c>
      <c r="D154">
        <f t="shared" si="15"/>
        <v>128.14472974826501</v>
      </c>
      <c r="E154">
        <f t="shared" si="16"/>
        <v>385.55</v>
      </c>
      <c r="F154">
        <f t="shared" si="17"/>
        <v>66600.714598408274</v>
      </c>
    </row>
    <row r="155" spans="1:6" x14ac:dyDescent="0.3">
      <c r="A155">
        <f t="shared" si="12"/>
        <v>209</v>
      </c>
      <c r="B155" s="2">
        <f t="shared" si="13"/>
        <v>50771</v>
      </c>
      <c r="C155">
        <f t="shared" si="14"/>
        <v>257.89863035305081</v>
      </c>
      <c r="D155">
        <f t="shared" si="15"/>
        <v>127.65136964694919</v>
      </c>
      <c r="E155">
        <f t="shared" si="16"/>
        <v>385.55</v>
      </c>
      <c r="F155">
        <f t="shared" si="17"/>
        <v>66342.81596805522</v>
      </c>
    </row>
    <row r="156" spans="1:6" x14ac:dyDescent="0.3">
      <c r="A156">
        <f t="shared" si="12"/>
        <v>208</v>
      </c>
      <c r="B156" s="2">
        <f t="shared" si="13"/>
        <v>50802</v>
      </c>
      <c r="C156">
        <f t="shared" si="14"/>
        <v>258.39293606122749</v>
      </c>
      <c r="D156">
        <f t="shared" si="15"/>
        <v>127.15706393877251</v>
      </c>
      <c r="E156">
        <f t="shared" si="16"/>
        <v>385.55</v>
      </c>
      <c r="F156">
        <f t="shared" si="17"/>
        <v>66084.423031993996</v>
      </c>
    </row>
    <row r="157" spans="1:6" x14ac:dyDescent="0.3">
      <c r="A157">
        <f t="shared" si="12"/>
        <v>207</v>
      </c>
      <c r="B157" s="2">
        <f t="shared" si="13"/>
        <v>50830</v>
      </c>
      <c r="C157">
        <f t="shared" si="14"/>
        <v>258.88818918867821</v>
      </c>
      <c r="D157">
        <f t="shared" si="15"/>
        <v>126.66181081132181</v>
      </c>
      <c r="E157">
        <f t="shared" si="16"/>
        <v>385.55</v>
      </c>
      <c r="F157">
        <f t="shared" si="17"/>
        <v>65825.534842805311</v>
      </c>
    </row>
    <row r="158" spans="1:6" x14ac:dyDescent="0.3">
      <c r="A158">
        <f t="shared" si="12"/>
        <v>206</v>
      </c>
      <c r="B158" s="2">
        <f t="shared" si="13"/>
        <v>50861</v>
      </c>
      <c r="C158">
        <f t="shared" si="14"/>
        <v>259.38439155128981</v>
      </c>
      <c r="D158">
        <f t="shared" si="15"/>
        <v>126.16560844871019</v>
      </c>
      <c r="E158">
        <f t="shared" si="16"/>
        <v>385.55</v>
      </c>
      <c r="F158">
        <f t="shared" si="17"/>
        <v>65566.150451254027</v>
      </c>
    </row>
    <row r="159" spans="1:6" x14ac:dyDescent="0.3">
      <c r="A159">
        <f t="shared" si="12"/>
        <v>205</v>
      </c>
      <c r="B159" s="2">
        <f t="shared" si="13"/>
        <v>50891</v>
      </c>
      <c r="C159">
        <f t="shared" si="14"/>
        <v>259.88154496842981</v>
      </c>
      <c r="D159">
        <f t="shared" si="15"/>
        <v>125.66845503157022</v>
      </c>
      <c r="E159">
        <f t="shared" si="16"/>
        <v>385.55</v>
      </c>
      <c r="F159">
        <f t="shared" si="17"/>
        <v>65306.268906285593</v>
      </c>
    </row>
    <row r="160" spans="1:6" x14ac:dyDescent="0.3">
      <c r="A160">
        <f t="shared" si="12"/>
        <v>204</v>
      </c>
      <c r="B160" s="2">
        <f t="shared" si="13"/>
        <v>50922</v>
      </c>
      <c r="C160">
        <f t="shared" si="14"/>
        <v>260.37965126295262</v>
      </c>
      <c r="D160">
        <f t="shared" si="15"/>
        <v>125.17034873704739</v>
      </c>
      <c r="E160">
        <f t="shared" si="16"/>
        <v>385.55</v>
      </c>
      <c r="F160">
        <f t="shared" si="17"/>
        <v>65045.889255022637</v>
      </c>
    </row>
    <row r="161" spans="1:6" x14ac:dyDescent="0.3">
      <c r="A161">
        <f t="shared" si="12"/>
        <v>203</v>
      </c>
      <c r="B161" s="2">
        <f t="shared" si="13"/>
        <v>50952</v>
      </c>
      <c r="C161">
        <f t="shared" si="14"/>
        <v>260.8787122612066</v>
      </c>
      <c r="D161">
        <f t="shared" si="15"/>
        <v>124.6712877387934</v>
      </c>
      <c r="E161">
        <f t="shared" si="16"/>
        <v>385.55</v>
      </c>
      <c r="F161">
        <f t="shared" si="17"/>
        <v>64785.010542761433</v>
      </c>
    </row>
    <row r="162" spans="1:6" x14ac:dyDescent="0.3">
      <c r="A162">
        <f t="shared" si="12"/>
        <v>202</v>
      </c>
      <c r="B162" s="2">
        <f t="shared" si="13"/>
        <v>50983</v>
      </c>
      <c r="C162">
        <f t="shared" si="14"/>
        <v>261.37872979304058</v>
      </c>
      <c r="D162">
        <f t="shared" si="15"/>
        <v>124.17127020695942</v>
      </c>
      <c r="E162">
        <f t="shared" si="16"/>
        <v>385.55</v>
      </c>
      <c r="F162">
        <f t="shared" si="17"/>
        <v>64523.631812968393</v>
      </c>
    </row>
    <row r="163" spans="1:6" x14ac:dyDescent="0.3">
      <c r="A163">
        <f t="shared" si="12"/>
        <v>201</v>
      </c>
      <c r="B163" s="2">
        <f t="shared" si="13"/>
        <v>51014</v>
      </c>
      <c r="C163">
        <f t="shared" si="14"/>
        <v>261.87970569181061</v>
      </c>
      <c r="D163">
        <f t="shared" si="15"/>
        <v>123.67029430818941</v>
      </c>
      <c r="E163">
        <f t="shared" si="16"/>
        <v>385.55</v>
      </c>
      <c r="F163">
        <f t="shared" si="17"/>
        <v>64261.752107276581</v>
      </c>
    </row>
    <row r="164" spans="1:6" x14ac:dyDescent="0.3">
      <c r="A164">
        <f t="shared" si="12"/>
        <v>200</v>
      </c>
      <c r="B164" s="2">
        <f t="shared" si="13"/>
        <v>51044</v>
      </c>
      <c r="C164">
        <f t="shared" si="14"/>
        <v>262.38164179438655</v>
      </c>
      <c r="D164">
        <f t="shared" si="15"/>
        <v>123.16835820561344</v>
      </c>
      <c r="E164">
        <f t="shared" si="16"/>
        <v>385.55</v>
      </c>
      <c r="F164">
        <f t="shared" si="17"/>
        <v>63999.370465482192</v>
      </c>
    </row>
    <row r="165" spans="1:6" x14ac:dyDescent="0.3">
      <c r="A165">
        <f t="shared" si="12"/>
        <v>199</v>
      </c>
      <c r="B165" s="2">
        <f t="shared" si="13"/>
        <v>51075</v>
      </c>
      <c r="C165">
        <f t="shared" si="14"/>
        <v>262.88453994115912</v>
      </c>
      <c r="D165">
        <f t="shared" si="15"/>
        <v>122.66546005884088</v>
      </c>
      <c r="E165">
        <f t="shared" si="16"/>
        <v>385.55</v>
      </c>
      <c r="F165">
        <f t="shared" si="17"/>
        <v>63736.485925541034</v>
      </c>
    </row>
    <row r="166" spans="1:6" x14ac:dyDescent="0.3">
      <c r="A166">
        <f t="shared" si="12"/>
        <v>198</v>
      </c>
      <c r="B166" s="2">
        <f t="shared" si="13"/>
        <v>51105</v>
      </c>
      <c r="C166">
        <f t="shared" si="14"/>
        <v>263.38840197604634</v>
      </c>
      <c r="D166">
        <f t="shared" si="15"/>
        <v>122.16159802395366</v>
      </c>
      <c r="E166">
        <f t="shared" si="16"/>
        <v>385.55</v>
      </c>
      <c r="F166">
        <f t="shared" si="17"/>
        <v>63473.097523564989</v>
      </c>
    </row>
    <row r="167" spans="1:6" x14ac:dyDescent="0.3">
      <c r="A167">
        <f t="shared" si="12"/>
        <v>197</v>
      </c>
      <c r="B167" s="2">
        <f t="shared" si="13"/>
        <v>51136</v>
      </c>
      <c r="C167">
        <f t="shared" si="14"/>
        <v>263.89322974650042</v>
      </c>
      <c r="D167">
        <f t="shared" si="15"/>
        <v>121.65677025349957</v>
      </c>
      <c r="E167">
        <f t="shared" si="16"/>
        <v>385.55</v>
      </c>
      <c r="F167">
        <f t="shared" si="17"/>
        <v>63209.20429381849</v>
      </c>
    </row>
    <row r="168" spans="1:6" x14ac:dyDescent="0.3">
      <c r="A168">
        <f t="shared" si="12"/>
        <v>196</v>
      </c>
      <c r="B168" s="2">
        <f t="shared" si="13"/>
        <v>51167</v>
      </c>
      <c r="C168">
        <f t="shared" si="14"/>
        <v>264.39902510351459</v>
      </c>
      <c r="D168">
        <f t="shared" si="15"/>
        <v>121.15097489648544</v>
      </c>
      <c r="E168">
        <f t="shared" si="16"/>
        <v>385.55</v>
      </c>
      <c r="F168">
        <f t="shared" si="17"/>
        <v>62944.805268714976</v>
      </c>
    </row>
    <row r="169" spans="1:6" x14ac:dyDescent="0.3">
      <c r="A169">
        <f t="shared" si="12"/>
        <v>195</v>
      </c>
      <c r="B169" s="2">
        <f t="shared" si="13"/>
        <v>51196</v>
      </c>
      <c r="C169">
        <f t="shared" si="14"/>
        <v>264.90578990162965</v>
      </c>
      <c r="D169">
        <f t="shared" si="15"/>
        <v>120.64421009837037</v>
      </c>
      <c r="E169">
        <f t="shared" si="16"/>
        <v>385.55</v>
      </c>
      <c r="F169">
        <f t="shared" si="17"/>
        <v>62679.89947881335</v>
      </c>
    </row>
    <row r="170" spans="1:6" x14ac:dyDescent="0.3">
      <c r="A170">
        <f t="shared" si="12"/>
        <v>194</v>
      </c>
      <c r="B170" s="2">
        <f t="shared" si="13"/>
        <v>51227</v>
      </c>
      <c r="C170">
        <f t="shared" si="14"/>
        <v>265.41352599894111</v>
      </c>
      <c r="D170">
        <f t="shared" si="15"/>
        <v>120.13647400105891</v>
      </c>
      <c r="E170">
        <f t="shared" si="16"/>
        <v>385.55</v>
      </c>
      <c r="F170">
        <f t="shared" si="17"/>
        <v>62414.485952814408</v>
      </c>
    </row>
    <row r="171" spans="1:6" x14ac:dyDescent="0.3">
      <c r="A171">
        <f t="shared" si="12"/>
        <v>193</v>
      </c>
      <c r="B171" s="2">
        <f t="shared" si="13"/>
        <v>51257</v>
      </c>
      <c r="C171">
        <f t="shared" si="14"/>
        <v>265.92223525710574</v>
      </c>
      <c r="D171">
        <f t="shared" si="15"/>
        <v>119.62776474289427</v>
      </c>
      <c r="E171">
        <f t="shared" si="16"/>
        <v>385.55</v>
      </c>
      <c r="F171">
        <f t="shared" si="17"/>
        <v>62148.563717557299</v>
      </c>
    </row>
    <row r="172" spans="1:6" x14ac:dyDescent="0.3">
      <c r="A172">
        <f t="shared" si="12"/>
        <v>192</v>
      </c>
      <c r="B172" s="2">
        <f t="shared" si="13"/>
        <v>51288</v>
      </c>
      <c r="C172">
        <f t="shared" si="14"/>
        <v>266.43191954134852</v>
      </c>
      <c r="D172">
        <f t="shared" si="15"/>
        <v>119.11808045865149</v>
      </c>
      <c r="E172">
        <f t="shared" si="16"/>
        <v>385.55</v>
      </c>
      <c r="F172">
        <f t="shared" si="17"/>
        <v>61882.131798015951</v>
      </c>
    </row>
    <row r="173" spans="1:6" x14ac:dyDescent="0.3">
      <c r="A173">
        <f t="shared" si="12"/>
        <v>191</v>
      </c>
      <c r="B173" s="2">
        <f t="shared" si="13"/>
        <v>51318</v>
      </c>
      <c r="C173">
        <f t="shared" si="14"/>
        <v>266.94258072046944</v>
      </c>
      <c r="D173">
        <f t="shared" si="15"/>
        <v>118.60741927953057</v>
      </c>
      <c r="E173">
        <f t="shared" si="16"/>
        <v>385.55</v>
      </c>
      <c r="F173">
        <f t="shared" si="17"/>
        <v>61615.189217295483</v>
      </c>
    </row>
    <row r="174" spans="1:6" x14ac:dyDescent="0.3">
      <c r="A174">
        <f t="shared" si="12"/>
        <v>190</v>
      </c>
      <c r="B174" s="2">
        <f t="shared" si="13"/>
        <v>51349</v>
      </c>
      <c r="C174">
        <f t="shared" si="14"/>
        <v>267.45422066685035</v>
      </c>
      <c r="D174">
        <f t="shared" si="15"/>
        <v>118.09577933314966</v>
      </c>
      <c r="E174">
        <f t="shared" si="16"/>
        <v>385.55</v>
      </c>
      <c r="F174">
        <f t="shared" si="17"/>
        <v>61347.734996628635</v>
      </c>
    </row>
    <row r="175" spans="1:6" x14ac:dyDescent="0.3">
      <c r="A175">
        <f t="shared" si="12"/>
        <v>189</v>
      </c>
      <c r="B175" s="2">
        <f t="shared" si="13"/>
        <v>51380</v>
      </c>
      <c r="C175">
        <f t="shared" si="14"/>
        <v>267.96684125646181</v>
      </c>
      <c r="D175">
        <f t="shared" si="15"/>
        <v>117.58315874353821</v>
      </c>
      <c r="E175">
        <f t="shared" si="16"/>
        <v>385.55</v>
      </c>
      <c r="F175">
        <f t="shared" si="17"/>
        <v>61079.76815537217</v>
      </c>
    </row>
    <row r="176" spans="1:6" x14ac:dyDescent="0.3">
      <c r="A176">
        <f t="shared" si="12"/>
        <v>188</v>
      </c>
      <c r="B176" s="2">
        <f t="shared" si="13"/>
        <v>51410</v>
      </c>
      <c r="C176">
        <f t="shared" si="14"/>
        <v>268.48044436887</v>
      </c>
      <c r="D176">
        <f t="shared" si="15"/>
        <v>117.06955563113</v>
      </c>
      <c r="E176">
        <f t="shared" si="16"/>
        <v>385.55</v>
      </c>
      <c r="F176">
        <f t="shared" si="17"/>
        <v>60811.287711003301</v>
      </c>
    </row>
    <row r="177" spans="1:6" x14ac:dyDescent="0.3">
      <c r="A177">
        <f t="shared" si="12"/>
        <v>187</v>
      </c>
      <c r="B177" s="2">
        <f t="shared" si="13"/>
        <v>51441</v>
      </c>
      <c r="C177">
        <f t="shared" si="14"/>
        <v>268.99503188724367</v>
      </c>
      <c r="D177">
        <f t="shared" si="15"/>
        <v>116.55496811275633</v>
      </c>
      <c r="E177">
        <f t="shared" si="16"/>
        <v>385.55</v>
      </c>
      <c r="F177">
        <f t="shared" si="17"/>
        <v>60542.292679116057</v>
      </c>
    </row>
    <row r="178" spans="1:6" x14ac:dyDescent="0.3">
      <c r="A178">
        <f t="shared" si="12"/>
        <v>186</v>
      </c>
      <c r="B178" s="2">
        <f t="shared" si="13"/>
        <v>51471</v>
      </c>
      <c r="C178">
        <f t="shared" si="14"/>
        <v>269.51060569836091</v>
      </c>
      <c r="D178">
        <f t="shared" si="15"/>
        <v>116.03939430163911</v>
      </c>
      <c r="E178">
        <f t="shared" si="16"/>
        <v>385.55</v>
      </c>
      <c r="F178">
        <f t="shared" si="17"/>
        <v>60272.782073417693</v>
      </c>
    </row>
    <row r="179" spans="1:6" x14ac:dyDescent="0.3">
      <c r="A179">
        <f t="shared" si="12"/>
        <v>185</v>
      </c>
      <c r="B179" s="2">
        <f t="shared" si="13"/>
        <v>51502</v>
      </c>
      <c r="C179">
        <f t="shared" si="14"/>
        <v>270.0271676926161</v>
      </c>
      <c r="D179">
        <f t="shared" si="15"/>
        <v>115.52283230738391</v>
      </c>
      <c r="E179">
        <f t="shared" si="16"/>
        <v>385.55</v>
      </c>
      <c r="F179">
        <f t="shared" si="17"/>
        <v>60002.75490572508</v>
      </c>
    </row>
    <row r="180" spans="1:6" x14ac:dyDescent="0.3">
      <c r="A180">
        <f t="shared" si="12"/>
        <v>184</v>
      </c>
      <c r="B180" s="2">
        <f t="shared" si="13"/>
        <v>51533</v>
      </c>
      <c r="C180">
        <f t="shared" si="14"/>
        <v>270.54471976402692</v>
      </c>
      <c r="D180">
        <f t="shared" si="15"/>
        <v>115.00528023597307</v>
      </c>
      <c r="E180">
        <f t="shared" si="16"/>
        <v>385.55</v>
      </c>
      <c r="F180">
        <f t="shared" si="17"/>
        <v>59732.210185961056</v>
      </c>
    </row>
    <row r="181" spans="1:6" x14ac:dyDescent="0.3">
      <c r="A181">
        <f t="shared" si="12"/>
        <v>183</v>
      </c>
      <c r="B181" s="2">
        <f t="shared" si="13"/>
        <v>51561</v>
      </c>
      <c r="C181">
        <f t="shared" si="14"/>
        <v>271.06326381024132</v>
      </c>
      <c r="D181">
        <f t="shared" si="15"/>
        <v>114.48673618975869</v>
      </c>
      <c r="E181">
        <f t="shared" si="16"/>
        <v>385.55</v>
      </c>
      <c r="F181">
        <f t="shared" si="17"/>
        <v>59461.146922150816</v>
      </c>
    </row>
    <row r="182" spans="1:6" x14ac:dyDescent="0.3">
      <c r="A182">
        <f t="shared" si="12"/>
        <v>182</v>
      </c>
      <c r="B182" s="2">
        <f t="shared" si="13"/>
        <v>51592</v>
      </c>
      <c r="C182">
        <f t="shared" si="14"/>
        <v>271.58280173254428</v>
      </c>
      <c r="D182">
        <f t="shared" si="15"/>
        <v>113.96719826745573</v>
      </c>
      <c r="E182">
        <f t="shared" si="16"/>
        <v>385.55</v>
      </c>
      <c r="F182">
        <f t="shared" si="17"/>
        <v>59189.564120418268</v>
      </c>
    </row>
    <row r="183" spans="1:6" x14ac:dyDescent="0.3">
      <c r="A183">
        <f t="shared" si="12"/>
        <v>181</v>
      </c>
      <c r="B183" s="2">
        <f t="shared" si="13"/>
        <v>51622</v>
      </c>
      <c r="C183">
        <f t="shared" si="14"/>
        <v>272.10333543586501</v>
      </c>
      <c r="D183">
        <f t="shared" si="15"/>
        <v>113.44666456413501</v>
      </c>
      <c r="E183">
        <f t="shared" si="16"/>
        <v>385.55</v>
      </c>
      <c r="F183">
        <f t="shared" si="17"/>
        <v>58917.460784982402</v>
      </c>
    </row>
    <row r="184" spans="1:6" x14ac:dyDescent="0.3">
      <c r="A184">
        <f t="shared" si="12"/>
        <v>180</v>
      </c>
      <c r="B184" s="2">
        <f t="shared" si="13"/>
        <v>51653</v>
      </c>
      <c r="C184">
        <f t="shared" si="14"/>
        <v>272.62486682878375</v>
      </c>
      <c r="D184">
        <f t="shared" si="15"/>
        <v>112.92513317121627</v>
      </c>
      <c r="E184">
        <f t="shared" si="16"/>
        <v>385.55</v>
      </c>
      <c r="F184">
        <f t="shared" si="17"/>
        <v>58644.835918153622</v>
      </c>
    </row>
    <row r="185" spans="1:6" x14ac:dyDescent="0.3">
      <c r="A185">
        <f t="shared" si="12"/>
        <v>179</v>
      </c>
      <c r="B185" s="2">
        <f t="shared" si="13"/>
        <v>51683</v>
      </c>
      <c r="C185">
        <f t="shared" si="14"/>
        <v>273.14739782353888</v>
      </c>
      <c r="D185">
        <f t="shared" si="15"/>
        <v>112.40260217646112</v>
      </c>
      <c r="E185">
        <f t="shared" si="16"/>
        <v>385.55</v>
      </c>
      <c r="F185">
        <f t="shared" si="17"/>
        <v>58371.688520330084</v>
      </c>
    </row>
    <row r="186" spans="1:6" x14ac:dyDescent="0.3">
      <c r="A186">
        <f t="shared" si="12"/>
        <v>178</v>
      </c>
      <c r="B186" s="2">
        <f t="shared" si="13"/>
        <v>51714</v>
      </c>
      <c r="C186">
        <f t="shared" si="14"/>
        <v>273.67093033603402</v>
      </c>
      <c r="D186">
        <f t="shared" si="15"/>
        <v>111.87906966396599</v>
      </c>
      <c r="E186">
        <f t="shared" si="16"/>
        <v>385.55</v>
      </c>
      <c r="F186">
        <f t="shared" si="17"/>
        <v>58098.017589994051</v>
      </c>
    </row>
    <row r="187" spans="1:6" x14ac:dyDescent="0.3">
      <c r="A187">
        <f t="shared" si="12"/>
        <v>177</v>
      </c>
      <c r="B187" s="2">
        <f t="shared" si="13"/>
        <v>51745</v>
      </c>
      <c r="C187">
        <f t="shared" si="14"/>
        <v>274.19546628584476</v>
      </c>
      <c r="D187">
        <f t="shared" si="15"/>
        <v>111.35453371415527</v>
      </c>
      <c r="E187">
        <f t="shared" si="16"/>
        <v>385.55</v>
      </c>
      <c r="F187">
        <f t="shared" si="17"/>
        <v>57823.822123708203</v>
      </c>
    </row>
    <row r="188" spans="1:6" x14ac:dyDescent="0.3">
      <c r="A188">
        <f t="shared" si="12"/>
        <v>176</v>
      </c>
      <c r="B188" s="2">
        <f t="shared" si="13"/>
        <v>51775</v>
      </c>
      <c r="C188">
        <f t="shared" si="14"/>
        <v>274.72100759622595</v>
      </c>
      <c r="D188">
        <f t="shared" si="15"/>
        <v>110.82899240377405</v>
      </c>
      <c r="E188">
        <f t="shared" si="16"/>
        <v>385.55</v>
      </c>
      <c r="F188">
        <f t="shared" si="17"/>
        <v>57549.101116111975</v>
      </c>
    </row>
    <row r="189" spans="1:6" x14ac:dyDescent="0.3">
      <c r="A189">
        <f t="shared" si="12"/>
        <v>175</v>
      </c>
      <c r="B189" s="2">
        <f t="shared" si="13"/>
        <v>51806</v>
      </c>
      <c r="C189">
        <f t="shared" si="14"/>
        <v>275.24755619411872</v>
      </c>
      <c r="D189">
        <f t="shared" si="15"/>
        <v>110.30244380588128</v>
      </c>
      <c r="E189">
        <f t="shared" si="16"/>
        <v>385.55</v>
      </c>
      <c r="F189">
        <f t="shared" si="17"/>
        <v>57273.853559917858</v>
      </c>
    </row>
    <row r="190" spans="1:6" x14ac:dyDescent="0.3">
      <c r="A190">
        <f t="shared" si="12"/>
        <v>174</v>
      </c>
      <c r="B190" s="2">
        <f t="shared" si="13"/>
        <v>51836</v>
      </c>
      <c r="C190">
        <f t="shared" si="14"/>
        <v>275.77511401015744</v>
      </c>
      <c r="D190">
        <f t="shared" si="15"/>
        <v>109.77488598984256</v>
      </c>
      <c r="E190">
        <f t="shared" si="16"/>
        <v>385.55</v>
      </c>
      <c r="F190">
        <f t="shared" si="17"/>
        <v>56998.078445907697</v>
      </c>
    </row>
    <row r="191" spans="1:6" x14ac:dyDescent="0.3">
      <c r="A191">
        <f t="shared" si="12"/>
        <v>173</v>
      </c>
      <c r="B191" s="2">
        <f t="shared" si="13"/>
        <v>51867</v>
      </c>
      <c r="C191">
        <f t="shared" si="14"/>
        <v>276.30368297867693</v>
      </c>
      <c r="D191">
        <f t="shared" si="15"/>
        <v>109.24631702132308</v>
      </c>
      <c r="E191">
        <f t="shared" si="16"/>
        <v>385.55</v>
      </c>
      <c r="F191">
        <f t="shared" si="17"/>
        <v>56721.774762929017</v>
      </c>
    </row>
    <row r="192" spans="1:6" x14ac:dyDescent="0.3">
      <c r="A192">
        <f t="shared" si="12"/>
        <v>172</v>
      </c>
      <c r="B192" s="2">
        <f t="shared" si="13"/>
        <v>51898</v>
      </c>
      <c r="C192">
        <f t="shared" si="14"/>
        <v>276.8332650377194</v>
      </c>
      <c r="D192">
        <f t="shared" si="15"/>
        <v>108.71673496228061</v>
      </c>
      <c r="E192">
        <f t="shared" si="16"/>
        <v>385.55</v>
      </c>
      <c r="F192">
        <f t="shared" si="17"/>
        <v>56444.941497891297</v>
      </c>
    </row>
    <row r="193" spans="1:6" x14ac:dyDescent="0.3">
      <c r="A193">
        <f t="shared" si="12"/>
        <v>171</v>
      </c>
      <c r="B193" s="2">
        <f t="shared" si="13"/>
        <v>51926</v>
      </c>
      <c r="C193">
        <f t="shared" si="14"/>
        <v>277.36386212904171</v>
      </c>
      <c r="D193">
        <f t="shared" si="15"/>
        <v>108.18613787095832</v>
      </c>
      <c r="E193">
        <f t="shared" si="16"/>
        <v>385.55</v>
      </c>
      <c r="F193">
        <f t="shared" si="17"/>
        <v>56167.577635762253</v>
      </c>
    </row>
    <row r="194" spans="1:6" x14ac:dyDescent="0.3">
      <c r="A194">
        <f t="shared" si="12"/>
        <v>170</v>
      </c>
      <c r="B194" s="2">
        <f t="shared" si="13"/>
        <v>51957</v>
      </c>
      <c r="C194">
        <f t="shared" si="14"/>
        <v>277.89547619812237</v>
      </c>
      <c r="D194">
        <f t="shared" si="15"/>
        <v>107.65452380187764</v>
      </c>
      <c r="E194">
        <f t="shared" si="16"/>
        <v>385.55</v>
      </c>
      <c r="F194">
        <f t="shared" si="17"/>
        <v>55889.68215956413</v>
      </c>
    </row>
    <row r="195" spans="1:6" x14ac:dyDescent="0.3">
      <c r="A195">
        <f t="shared" si="12"/>
        <v>169</v>
      </c>
      <c r="B195" s="2">
        <f t="shared" si="13"/>
        <v>51987</v>
      </c>
      <c r="C195">
        <f t="shared" si="14"/>
        <v>278.42810919416877</v>
      </c>
      <c r="D195">
        <f t="shared" si="15"/>
        <v>107.12189080583124</v>
      </c>
      <c r="E195">
        <f t="shared" si="16"/>
        <v>385.55</v>
      </c>
      <c r="F195">
        <f t="shared" si="17"/>
        <v>55611.254050369964</v>
      </c>
    </row>
    <row r="196" spans="1:6" x14ac:dyDescent="0.3">
      <c r="A196">
        <f t="shared" si="12"/>
        <v>168</v>
      </c>
      <c r="B196" s="2">
        <f t="shared" si="13"/>
        <v>52018</v>
      </c>
      <c r="C196">
        <f t="shared" si="14"/>
        <v>278.96176307012428</v>
      </c>
      <c r="D196">
        <f t="shared" si="15"/>
        <v>106.58823692987575</v>
      </c>
      <c r="E196">
        <f t="shared" si="16"/>
        <v>385.55</v>
      </c>
      <c r="F196">
        <f t="shared" si="17"/>
        <v>55332.292287299839</v>
      </c>
    </row>
    <row r="197" spans="1:6" x14ac:dyDescent="0.3">
      <c r="A197">
        <f t="shared" si="12"/>
        <v>167</v>
      </c>
      <c r="B197" s="2">
        <f t="shared" si="13"/>
        <v>52048</v>
      </c>
      <c r="C197">
        <f t="shared" si="14"/>
        <v>279.49643978267534</v>
      </c>
      <c r="D197">
        <f t="shared" si="15"/>
        <v>106.05356021732469</v>
      </c>
      <c r="E197">
        <f t="shared" si="16"/>
        <v>385.55</v>
      </c>
      <c r="F197">
        <f t="shared" si="17"/>
        <v>55052.795847517162</v>
      </c>
    </row>
    <row r="198" spans="1:6" x14ac:dyDescent="0.3">
      <c r="A198">
        <f t="shared" si="12"/>
        <v>166</v>
      </c>
      <c r="B198" s="2">
        <f t="shared" si="13"/>
        <v>52079</v>
      </c>
      <c r="C198">
        <f t="shared" si="14"/>
        <v>280.03214129225881</v>
      </c>
      <c r="D198">
        <f t="shared" si="15"/>
        <v>105.51785870774121</v>
      </c>
      <c r="E198">
        <f t="shared" si="16"/>
        <v>385.55</v>
      </c>
      <c r="F198">
        <f t="shared" si="17"/>
        <v>54772.763706224905</v>
      </c>
    </row>
    <row r="199" spans="1:6" x14ac:dyDescent="0.3">
      <c r="A199">
        <f t="shared" ref="A199:A262" si="18">A198-1</f>
        <v>165</v>
      </c>
      <c r="B199" s="2">
        <f t="shared" si="13"/>
        <v>52110</v>
      </c>
      <c r="C199">
        <f t="shared" si="14"/>
        <v>280.56886956306897</v>
      </c>
      <c r="D199">
        <f t="shared" si="15"/>
        <v>104.98113043693105</v>
      </c>
      <c r="E199">
        <f t="shared" si="16"/>
        <v>385.55</v>
      </c>
      <c r="F199">
        <f t="shared" si="17"/>
        <v>54492.194836661838</v>
      </c>
    </row>
    <row r="200" spans="1:6" x14ac:dyDescent="0.3">
      <c r="A200">
        <f t="shared" si="18"/>
        <v>164</v>
      </c>
      <c r="B200" s="2">
        <f t="shared" ref="B200:B263" si="19">EDATE(B199,1)</f>
        <v>52140</v>
      </c>
      <c r="C200">
        <f t="shared" ref="C200:C263" si="20">$C$2-D200</f>
        <v>281.10662656306482</v>
      </c>
      <c r="D200">
        <f t="shared" ref="D200:D263" si="21">F199*$B$2/12</f>
        <v>104.44337343693519</v>
      </c>
      <c r="E200">
        <f t="shared" ref="E200:E263" si="22">$C$2</f>
        <v>385.55</v>
      </c>
      <c r="F200">
        <f t="shared" ref="F200:F263" si="23">F199-C200</f>
        <v>54211.088210098773</v>
      </c>
    </row>
    <row r="201" spans="1:6" x14ac:dyDescent="0.3">
      <c r="A201">
        <f t="shared" si="18"/>
        <v>163</v>
      </c>
      <c r="B201" s="2">
        <f t="shared" si="19"/>
        <v>52171</v>
      </c>
      <c r="C201">
        <f t="shared" si="20"/>
        <v>281.64541426397739</v>
      </c>
      <c r="D201">
        <f t="shared" si="21"/>
        <v>103.90458573602264</v>
      </c>
      <c r="E201">
        <f t="shared" si="22"/>
        <v>385.55</v>
      </c>
      <c r="F201">
        <f t="shared" si="23"/>
        <v>53929.442795834795</v>
      </c>
    </row>
    <row r="202" spans="1:6" x14ac:dyDescent="0.3">
      <c r="A202">
        <f t="shared" si="18"/>
        <v>162</v>
      </c>
      <c r="B202" s="2">
        <f t="shared" si="19"/>
        <v>52201</v>
      </c>
      <c r="C202">
        <f t="shared" si="20"/>
        <v>282.18523464131664</v>
      </c>
      <c r="D202">
        <f t="shared" si="21"/>
        <v>103.36476535868336</v>
      </c>
      <c r="E202">
        <f t="shared" si="22"/>
        <v>385.55</v>
      </c>
      <c r="F202">
        <f t="shared" si="23"/>
        <v>53647.257561193481</v>
      </c>
    </row>
    <row r="203" spans="1:6" x14ac:dyDescent="0.3">
      <c r="A203">
        <f t="shared" si="18"/>
        <v>161</v>
      </c>
      <c r="B203" s="2">
        <f t="shared" si="19"/>
        <v>52232</v>
      </c>
      <c r="C203">
        <f t="shared" si="20"/>
        <v>282.72608967437918</v>
      </c>
      <c r="D203">
        <f t="shared" si="21"/>
        <v>102.82391032562083</v>
      </c>
      <c r="E203">
        <f t="shared" si="22"/>
        <v>385.55</v>
      </c>
      <c r="F203">
        <f t="shared" si="23"/>
        <v>53364.531471519105</v>
      </c>
    </row>
    <row r="204" spans="1:6" x14ac:dyDescent="0.3">
      <c r="A204">
        <f t="shared" si="18"/>
        <v>160</v>
      </c>
      <c r="B204" s="2">
        <f t="shared" si="19"/>
        <v>52263</v>
      </c>
      <c r="C204">
        <f t="shared" si="20"/>
        <v>283.26798134625506</v>
      </c>
      <c r="D204">
        <f t="shared" si="21"/>
        <v>102.28201865374496</v>
      </c>
      <c r="E204">
        <f t="shared" si="22"/>
        <v>385.55</v>
      </c>
      <c r="F204">
        <f t="shared" si="23"/>
        <v>53081.263490172852</v>
      </c>
    </row>
    <row r="205" spans="1:6" x14ac:dyDescent="0.3">
      <c r="A205">
        <f t="shared" si="18"/>
        <v>159</v>
      </c>
      <c r="B205" s="2">
        <f t="shared" si="19"/>
        <v>52291</v>
      </c>
      <c r="C205">
        <f t="shared" si="20"/>
        <v>283.81091164383537</v>
      </c>
      <c r="D205">
        <f t="shared" si="21"/>
        <v>101.73908835616463</v>
      </c>
      <c r="E205">
        <f t="shared" si="22"/>
        <v>385.55</v>
      </c>
      <c r="F205">
        <f t="shared" si="23"/>
        <v>52797.452578529017</v>
      </c>
    </row>
    <row r="206" spans="1:6" x14ac:dyDescent="0.3">
      <c r="A206">
        <f t="shared" si="18"/>
        <v>158</v>
      </c>
      <c r="B206" s="2">
        <f t="shared" si="19"/>
        <v>52322</v>
      </c>
      <c r="C206">
        <f t="shared" si="20"/>
        <v>284.35488255781939</v>
      </c>
      <c r="D206">
        <f t="shared" si="21"/>
        <v>101.19511744218062</v>
      </c>
      <c r="E206">
        <f t="shared" si="22"/>
        <v>385.55</v>
      </c>
      <c r="F206">
        <f t="shared" si="23"/>
        <v>52513.097695971199</v>
      </c>
    </row>
    <row r="207" spans="1:6" x14ac:dyDescent="0.3">
      <c r="A207">
        <f t="shared" si="18"/>
        <v>157</v>
      </c>
      <c r="B207" s="2">
        <f t="shared" si="19"/>
        <v>52352</v>
      </c>
      <c r="C207">
        <f t="shared" si="20"/>
        <v>284.89989608272191</v>
      </c>
      <c r="D207">
        <f t="shared" si="21"/>
        <v>100.65010391727812</v>
      </c>
      <c r="E207">
        <f t="shared" si="22"/>
        <v>385.55</v>
      </c>
      <c r="F207">
        <f t="shared" si="23"/>
        <v>52228.197799888476</v>
      </c>
    </row>
    <row r="208" spans="1:6" x14ac:dyDescent="0.3">
      <c r="A208">
        <f t="shared" si="18"/>
        <v>156</v>
      </c>
      <c r="B208" s="2">
        <f t="shared" si="19"/>
        <v>52383</v>
      </c>
      <c r="C208">
        <f t="shared" si="20"/>
        <v>285.44595421688041</v>
      </c>
      <c r="D208">
        <f t="shared" si="21"/>
        <v>100.10404578311959</v>
      </c>
      <c r="E208">
        <f t="shared" si="22"/>
        <v>385.55</v>
      </c>
      <c r="F208">
        <f t="shared" si="23"/>
        <v>51942.751845671599</v>
      </c>
    </row>
    <row r="209" spans="1:6" x14ac:dyDescent="0.3">
      <c r="A209">
        <f t="shared" si="18"/>
        <v>155</v>
      </c>
      <c r="B209" s="2">
        <f t="shared" si="19"/>
        <v>52413</v>
      </c>
      <c r="C209">
        <f t="shared" si="20"/>
        <v>285.99305896246278</v>
      </c>
      <c r="D209">
        <f t="shared" si="21"/>
        <v>99.556941037537229</v>
      </c>
      <c r="E209">
        <f t="shared" si="22"/>
        <v>385.55</v>
      </c>
      <c r="F209">
        <f t="shared" si="23"/>
        <v>51656.758786709135</v>
      </c>
    </row>
    <row r="210" spans="1:6" x14ac:dyDescent="0.3">
      <c r="A210">
        <f t="shared" si="18"/>
        <v>154</v>
      </c>
      <c r="B210" s="2">
        <f t="shared" si="19"/>
        <v>52444</v>
      </c>
      <c r="C210">
        <f t="shared" si="20"/>
        <v>286.54121232547419</v>
      </c>
      <c r="D210">
        <f t="shared" si="21"/>
        <v>99.008787674525834</v>
      </c>
      <c r="E210">
        <f t="shared" si="22"/>
        <v>385.55</v>
      </c>
      <c r="F210">
        <f t="shared" si="23"/>
        <v>51370.217574383663</v>
      </c>
    </row>
    <row r="211" spans="1:6" x14ac:dyDescent="0.3">
      <c r="A211">
        <f t="shared" si="18"/>
        <v>153</v>
      </c>
      <c r="B211" s="2">
        <f t="shared" si="19"/>
        <v>52475</v>
      </c>
      <c r="C211">
        <f t="shared" si="20"/>
        <v>287.09041631576468</v>
      </c>
      <c r="D211">
        <f t="shared" si="21"/>
        <v>98.459583684235341</v>
      </c>
      <c r="E211">
        <f t="shared" si="22"/>
        <v>385.55</v>
      </c>
      <c r="F211">
        <f t="shared" si="23"/>
        <v>51083.127158067902</v>
      </c>
    </row>
    <row r="212" spans="1:6" x14ac:dyDescent="0.3">
      <c r="A212">
        <f t="shared" si="18"/>
        <v>152</v>
      </c>
      <c r="B212" s="2">
        <f t="shared" si="19"/>
        <v>52505</v>
      </c>
      <c r="C212">
        <f t="shared" si="20"/>
        <v>287.64067294703653</v>
      </c>
      <c r="D212">
        <f t="shared" si="21"/>
        <v>97.909327052963476</v>
      </c>
      <c r="E212">
        <f t="shared" si="22"/>
        <v>385.55</v>
      </c>
      <c r="F212">
        <f t="shared" si="23"/>
        <v>50795.486485120862</v>
      </c>
    </row>
    <row r="213" spans="1:6" x14ac:dyDescent="0.3">
      <c r="A213">
        <f t="shared" si="18"/>
        <v>151</v>
      </c>
      <c r="B213" s="2">
        <f t="shared" si="19"/>
        <v>52536</v>
      </c>
      <c r="C213">
        <f t="shared" si="20"/>
        <v>288.19198423685168</v>
      </c>
      <c r="D213">
        <f t="shared" si="21"/>
        <v>97.358015763148316</v>
      </c>
      <c r="E213">
        <f t="shared" si="22"/>
        <v>385.55</v>
      </c>
      <c r="F213">
        <f t="shared" si="23"/>
        <v>50507.294500884011</v>
      </c>
    </row>
    <row r="214" spans="1:6" x14ac:dyDescent="0.3">
      <c r="A214">
        <f t="shared" si="18"/>
        <v>150</v>
      </c>
      <c r="B214" s="2">
        <f t="shared" si="19"/>
        <v>52566</v>
      </c>
      <c r="C214">
        <f t="shared" si="20"/>
        <v>288.74435220663901</v>
      </c>
      <c r="D214">
        <f t="shared" si="21"/>
        <v>96.805647793361018</v>
      </c>
      <c r="E214">
        <f t="shared" si="22"/>
        <v>385.55</v>
      </c>
      <c r="F214">
        <f t="shared" si="23"/>
        <v>50218.550148677372</v>
      </c>
    </row>
    <row r="215" spans="1:6" x14ac:dyDescent="0.3">
      <c r="A215">
        <f t="shared" si="18"/>
        <v>149</v>
      </c>
      <c r="B215" s="2">
        <f t="shared" si="19"/>
        <v>52597</v>
      </c>
      <c r="C215">
        <f t="shared" si="20"/>
        <v>289.29777888170173</v>
      </c>
      <c r="D215">
        <f t="shared" si="21"/>
        <v>96.252221118298294</v>
      </c>
      <c r="E215">
        <f t="shared" si="22"/>
        <v>385.55</v>
      </c>
      <c r="F215">
        <f t="shared" si="23"/>
        <v>49929.252369795671</v>
      </c>
    </row>
    <row r="216" spans="1:6" x14ac:dyDescent="0.3">
      <c r="A216">
        <f t="shared" si="18"/>
        <v>148</v>
      </c>
      <c r="B216" s="2">
        <f t="shared" si="19"/>
        <v>52628</v>
      </c>
      <c r="C216">
        <f t="shared" si="20"/>
        <v>289.85226629122496</v>
      </c>
      <c r="D216">
        <f t="shared" si="21"/>
        <v>95.697733708775033</v>
      </c>
      <c r="E216">
        <f t="shared" si="22"/>
        <v>385.55</v>
      </c>
      <c r="F216">
        <f t="shared" si="23"/>
        <v>49639.400103504449</v>
      </c>
    </row>
    <row r="217" spans="1:6" x14ac:dyDescent="0.3">
      <c r="A217">
        <f t="shared" si="18"/>
        <v>147</v>
      </c>
      <c r="B217" s="2">
        <f t="shared" si="19"/>
        <v>52657</v>
      </c>
      <c r="C217">
        <f t="shared" si="20"/>
        <v>290.40781646828316</v>
      </c>
      <c r="D217">
        <f t="shared" si="21"/>
        <v>95.142183531716853</v>
      </c>
      <c r="E217">
        <f t="shared" si="22"/>
        <v>385.55</v>
      </c>
      <c r="F217">
        <f t="shared" si="23"/>
        <v>49348.99228703617</v>
      </c>
    </row>
    <row r="218" spans="1:6" x14ac:dyDescent="0.3">
      <c r="A218">
        <f t="shared" si="18"/>
        <v>146</v>
      </c>
      <c r="B218" s="2">
        <f t="shared" si="19"/>
        <v>52688</v>
      </c>
      <c r="C218">
        <f t="shared" si="20"/>
        <v>290.96443144984738</v>
      </c>
      <c r="D218">
        <f t="shared" si="21"/>
        <v>94.585568550152644</v>
      </c>
      <c r="E218">
        <f t="shared" si="22"/>
        <v>385.55</v>
      </c>
      <c r="F218">
        <f t="shared" si="23"/>
        <v>49058.027855586319</v>
      </c>
    </row>
    <row r="219" spans="1:6" x14ac:dyDescent="0.3">
      <c r="A219">
        <f t="shared" si="18"/>
        <v>145</v>
      </c>
      <c r="B219" s="2">
        <f t="shared" si="19"/>
        <v>52718</v>
      </c>
      <c r="C219">
        <f t="shared" si="20"/>
        <v>291.52211327679288</v>
      </c>
      <c r="D219">
        <f t="shared" si="21"/>
        <v>94.027886723207118</v>
      </c>
      <c r="E219">
        <f t="shared" si="22"/>
        <v>385.55</v>
      </c>
      <c r="F219">
        <f t="shared" si="23"/>
        <v>48766.505742309528</v>
      </c>
    </row>
    <row r="220" spans="1:6" x14ac:dyDescent="0.3">
      <c r="A220">
        <f t="shared" si="18"/>
        <v>144</v>
      </c>
      <c r="B220" s="2">
        <f t="shared" si="19"/>
        <v>52749</v>
      </c>
      <c r="C220">
        <f t="shared" si="20"/>
        <v>292.08086399390675</v>
      </c>
      <c r="D220">
        <f t="shared" si="21"/>
        <v>93.469136006093265</v>
      </c>
      <c r="E220">
        <f t="shared" si="22"/>
        <v>385.55</v>
      </c>
      <c r="F220">
        <f t="shared" si="23"/>
        <v>48474.424878315622</v>
      </c>
    </row>
    <row r="221" spans="1:6" x14ac:dyDescent="0.3">
      <c r="A221">
        <f t="shared" si="18"/>
        <v>143</v>
      </c>
      <c r="B221" s="2">
        <f t="shared" si="19"/>
        <v>52779</v>
      </c>
      <c r="C221">
        <f t="shared" si="20"/>
        <v>292.64068564989509</v>
      </c>
      <c r="D221">
        <f t="shared" si="21"/>
        <v>92.909314350104935</v>
      </c>
      <c r="E221">
        <f t="shared" si="22"/>
        <v>385.55</v>
      </c>
      <c r="F221">
        <f t="shared" si="23"/>
        <v>48181.784192665727</v>
      </c>
    </row>
    <row r="222" spans="1:6" x14ac:dyDescent="0.3">
      <c r="A222">
        <f t="shared" si="18"/>
        <v>142</v>
      </c>
      <c r="B222" s="2">
        <f t="shared" si="19"/>
        <v>52810</v>
      </c>
      <c r="C222">
        <f t="shared" si="20"/>
        <v>293.20158029739071</v>
      </c>
      <c r="D222">
        <f t="shared" si="21"/>
        <v>92.348419702609306</v>
      </c>
      <c r="E222">
        <f t="shared" si="22"/>
        <v>385.55</v>
      </c>
      <c r="F222">
        <f t="shared" si="23"/>
        <v>47888.582612368336</v>
      </c>
    </row>
    <row r="223" spans="1:6" x14ac:dyDescent="0.3">
      <c r="A223">
        <f t="shared" si="18"/>
        <v>141</v>
      </c>
      <c r="B223" s="2">
        <f t="shared" si="19"/>
        <v>52841</v>
      </c>
      <c r="C223">
        <f t="shared" si="20"/>
        <v>293.76354999296069</v>
      </c>
      <c r="D223">
        <f t="shared" si="21"/>
        <v>91.786450007039306</v>
      </c>
      <c r="E223">
        <f t="shared" si="22"/>
        <v>385.55</v>
      </c>
      <c r="F223">
        <f t="shared" si="23"/>
        <v>47594.819062375376</v>
      </c>
    </row>
    <row r="224" spans="1:6" x14ac:dyDescent="0.3">
      <c r="A224">
        <f t="shared" si="18"/>
        <v>140</v>
      </c>
      <c r="B224" s="2">
        <f t="shared" si="19"/>
        <v>52871</v>
      </c>
      <c r="C224">
        <f t="shared" si="20"/>
        <v>294.32659679711389</v>
      </c>
      <c r="D224">
        <f t="shared" si="21"/>
        <v>91.223403202886132</v>
      </c>
      <c r="E224">
        <f t="shared" si="22"/>
        <v>385.55</v>
      </c>
      <c r="F224">
        <f t="shared" si="23"/>
        <v>47300.49246557826</v>
      </c>
    </row>
    <row r="225" spans="1:6" x14ac:dyDescent="0.3">
      <c r="A225">
        <f t="shared" si="18"/>
        <v>139</v>
      </c>
      <c r="B225" s="2">
        <f t="shared" si="19"/>
        <v>52902</v>
      </c>
      <c r="C225">
        <f t="shared" si="20"/>
        <v>294.89072277430836</v>
      </c>
      <c r="D225">
        <f t="shared" si="21"/>
        <v>90.659277225691667</v>
      </c>
      <c r="E225">
        <f t="shared" si="22"/>
        <v>385.55</v>
      </c>
      <c r="F225">
        <f t="shared" si="23"/>
        <v>47005.601742803949</v>
      </c>
    </row>
    <row r="226" spans="1:6" x14ac:dyDescent="0.3">
      <c r="A226">
        <f t="shared" si="18"/>
        <v>138</v>
      </c>
      <c r="B226" s="2">
        <f t="shared" si="19"/>
        <v>52932</v>
      </c>
      <c r="C226">
        <f t="shared" si="20"/>
        <v>295.45592999295911</v>
      </c>
      <c r="D226">
        <f t="shared" si="21"/>
        <v>90.094070007040898</v>
      </c>
      <c r="E226">
        <f t="shared" si="22"/>
        <v>385.55</v>
      </c>
      <c r="F226">
        <f t="shared" si="23"/>
        <v>46710.145812810988</v>
      </c>
    </row>
    <row r="227" spans="1:6" x14ac:dyDescent="0.3">
      <c r="A227">
        <f t="shared" si="18"/>
        <v>137</v>
      </c>
      <c r="B227" s="2">
        <f t="shared" si="19"/>
        <v>52963</v>
      </c>
      <c r="C227">
        <f t="shared" si="20"/>
        <v>296.02222052544562</v>
      </c>
      <c r="D227">
        <f t="shared" si="21"/>
        <v>89.527779474554393</v>
      </c>
      <c r="E227">
        <f t="shared" si="22"/>
        <v>385.55</v>
      </c>
      <c r="F227">
        <f t="shared" si="23"/>
        <v>46414.123592285541</v>
      </c>
    </row>
    <row r="228" spans="1:6" x14ac:dyDescent="0.3">
      <c r="A228">
        <f t="shared" si="18"/>
        <v>136</v>
      </c>
      <c r="B228" s="2">
        <f t="shared" si="19"/>
        <v>52994</v>
      </c>
      <c r="C228">
        <f t="shared" si="20"/>
        <v>296.58959644811938</v>
      </c>
      <c r="D228">
        <f t="shared" si="21"/>
        <v>88.960403551880617</v>
      </c>
      <c r="E228">
        <f t="shared" si="22"/>
        <v>385.55</v>
      </c>
      <c r="F228">
        <f t="shared" si="23"/>
        <v>46117.533995837424</v>
      </c>
    </row>
    <row r="229" spans="1:6" x14ac:dyDescent="0.3">
      <c r="A229">
        <f t="shared" si="18"/>
        <v>135</v>
      </c>
      <c r="B229" s="2">
        <f t="shared" si="19"/>
        <v>53022</v>
      </c>
      <c r="C229">
        <f t="shared" si="20"/>
        <v>297.15805984131163</v>
      </c>
      <c r="D229">
        <f t="shared" si="21"/>
        <v>88.391940158688399</v>
      </c>
      <c r="E229">
        <f t="shared" si="22"/>
        <v>385.55</v>
      </c>
      <c r="F229">
        <f t="shared" si="23"/>
        <v>45820.375935996111</v>
      </c>
    </row>
    <row r="230" spans="1:6" x14ac:dyDescent="0.3">
      <c r="A230">
        <f t="shared" si="18"/>
        <v>134</v>
      </c>
      <c r="B230" s="2">
        <f t="shared" si="19"/>
        <v>53053</v>
      </c>
      <c r="C230">
        <f t="shared" si="20"/>
        <v>297.72761278934081</v>
      </c>
      <c r="D230">
        <f t="shared" si="21"/>
        <v>87.822387210659215</v>
      </c>
      <c r="E230">
        <f t="shared" si="22"/>
        <v>385.55</v>
      </c>
      <c r="F230">
        <f t="shared" si="23"/>
        <v>45522.648323206769</v>
      </c>
    </row>
    <row r="231" spans="1:6" x14ac:dyDescent="0.3">
      <c r="A231">
        <f t="shared" si="18"/>
        <v>133</v>
      </c>
      <c r="B231" s="2">
        <f t="shared" si="19"/>
        <v>53083</v>
      </c>
      <c r="C231">
        <f t="shared" si="20"/>
        <v>298.2982573805204</v>
      </c>
      <c r="D231">
        <f t="shared" si="21"/>
        <v>87.251742619479629</v>
      </c>
      <c r="E231">
        <f t="shared" si="22"/>
        <v>385.55</v>
      </c>
      <c r="F231">
        <f t="shared" si="23"/>
        <v>45224.350065826249</v>
      </c>
    </row>
    <row r="232" spans="1:6" x14ac:dyDescent="0.3">
      <c r="A232">
        <f t="shared" si="18"/>
        <v>132</v>
      </c>
      <c r="B232" s="2">
        <f t="shared" si="19"/>
        <v>53114</v>
      </c>
      <c r="C232">
        <f t="shared" si="20"/>
        <v>298.86999570716637</v>
      </c>
      <c r="D232">
        <f t="shared" si="21"/>
        <v>86.680004292833644</v>
      </c>
      <c r="E232">
        <f t="shared" si="22"/>
        <v>385.55</v>
      </c>
      <c r="F232">
        <f t="shared" si="23"/>
        <v>44925.480070119083</v>
      </c>
    </row>
    <row r="233" spans="1:6" x14ac:dyDescent="0.3">
      <c r="A233">
        <f t="shared" si="18"/>
        <v>131</v>
      </c>
      <c r="B233" s="2">
        <f t="shared" si="19"/>
        <v>53144</v>
      </c>
      <c r="C233">
        <f t="shared" si="20"/>
        <v>299.44282986560512</v>
      </c>
      <c r="D233">
        <f t="shared" si="21"/>
        <v>86.107170134394906</v>
      </c>
      <c r="E233">
        <f t="shared" si="22"/>
        <v>385.55</v>
      </c>
      <c r="F233">
        <f t="shared" si="23"/>
        <v>44626.037240253478</v>
      </c>
    </row>
    <row r="234" spans="1:6" x14ac:dyDescent="0.3">
      <c r="A234">
        <f t="shared" si="18"/>
        <v>130</v>
      </c>
      <c r="B234" s="2">
        <f t="shared" si="19"/>
        <v>53175</v>
      </c>
      <c r="C234">
        <f t="shared" si="20"/>
        <v>300.01676195618086</v>
      </c>
      <c r="D234">
        <f t="shared" si="21"/>
        <v>85.533238043819168</v>
      </c>
      <c r="E234">
        <f t="shared" si="22"/>
        <v>385.55</v>
      </c>
      <c r="F234">
        <f t="shared" si="23"/>
        <v>44326.020478297294</v>
      </c>
    </row>
    <row r="235" spans="1:6" x14ac:dyDescent="0.3">
      <c r="A235">
        <f t="shared" si="18"/>
        <v>129</v>
      </c>
      <c r="B235" s="2">
        <f t="shared" si="19"/>
        <v>53206</v>
      </c>
      <c r="C235">
        <f t="shared" si="20"/>
        <v>300.59179408326355</v>
      </c>
      <c r="D235">
        <f t="shared" si="21"/>
        <v>84.958205916736475</v>
      </c>
      <c r="E235">
        <f t="shared" si="22"/>
        <v>385.55</v>
      </c>
      <c r="F235">
        <f t="shared" si="23"/>
        <v>44025.428684214028</v>
      </c>
    </row>
    <row r="236" spans="1:6" x14ac:dyDescent="0.3">
      <c r="A236">
        <f t="shared" si="18"/>
        <v>128</v>
      </c>
      <c r="B236" s="2">
        <f t="shared" si="19"/>
        <v>53236</v>
      </c>
      <c r="C236">
        <f t="shared" si="20"/>
        <v>301.16792835525644</v>
      </c>
      <c r="D236">
        <f t="shared" si="21"/>
        <v>84.382071644743561</v>
      </c>
      <c r="E236">
        <f t="shared" si="22"/>
        <v>385.55</v>
      </c>
      <c r="F236">
        <f t="shared" si="23"/>
        <v>43724.26075585877</v>
      </c>
    </row>
    <row r="237" spans="1:6" x14ac:dyDescent="0.3">
      <c r="A237">
        <f t="shared" si="18"/>
        <v>127</v>
      </c>
      <c r="B237" s="2">
        <f t="shared" si="19"/>
        <v>53267</v>
      </c>
      <c r="C237">
        <f t="shared" si="20"/>
        <v>301.74516688460403</v>
      </c>
      <c r="D237">
        <f t="shared" si="21"/>
        <v>83.804833115395965</v>
      </c>
      <c r="E237">
        <f t="shared" si="22"/>
        <v>385.55</v>
      </c>
      <c r="F237">
        <f t="shared" si="23"/>
        <v>43422.515588974165</v>
      </c>
    </row>
    <row r="238" spans="1:6" x14ac:dyDescent="0.3">
      <c r="A238">
        <f t="shared" si="18"/>
        <v>126</v>
      </c>
      <c r="B238" s="2">
        <f t="shared" si="19"/>
        <v>53297</v>
      </c>
      <c r="C238">
        <f t="shared" si="20"/>
        <v>302.32351178779953</v>
      </c>
      <c r="D238">
        <f t="shared" si="21"/>
        <v>83.226488212200479</v>
      </c>
      <c r="E238">
        <f t="shared" si="22"/>
        <v>385.55</v>
      </c>
      <c r="F238">
        <f t="shared" si="23"/>
        <v>43120.192077186366</v>
      </c>
    </row>
    <row r="239" spans="1:6" x14ac:dyDescent="0.3">
      <c r="A239">
        <f t="shared" si="18"/>
        <v>125</v>
      </c>
      <c r="B239" s="2">
        <f t="shared" si="19"/>
        <v>53328</v>
      </c>
      <c r="C239">
        <f t="shared" si="20"/>
        <v>302.90296518539282</v>
      </c>
      <c r="D239">
        <f t="shared" si="21"/>
        <v>82.647034814607196</v>
      </c>
      <c r="E239">
        <f t="shared" si="22"/>
        <v>385.55</v>
      </c>
      <c r="F239">
        <f t="shared" si="23"/>
        <v>42817.289112000974</v>
      </c>
    </row>
    <row r="240" spans="1:6" x14ac:dyDescent="0.3">
      <c r="A240">
        <f t="shared" si="18"/>
        <v>124</v>
      </c>
      <c r="B240" s="2">
        <f t="shared" si="19"/>
        <v>53359</v>
      </c>
      <c r="C240">
        <f t="shared" si="20"/>
        <v>303.48352920199812</v>
      </c>
      <c r="D240">
        <f t="shared" si="21"/>
        <v>82.066470798001873</v>
      </c>
      <c r="E240">
        <f t="shared" si="22"/>
        <v>385.55</v>
      </c>
      <c r="F240">
        <f t="shared" si="23"/>
        <v>42513.805582798974</v>
      </c>
    </row>
    <row r="241" spans="1:6" x14ac:dyDescent="0.3">
      <c r="A241">
        <f t="shared" si="18"/>
        <v>123</v>
      </c>
      <c r="B241" s="2">
        <f t="shared" si="19"/>
        <v>53387</v>
      </c>
      <c r="C241">
        <f t="shared" si="20"/>
        <v>304.06520596630196</v>
      </c>
      <c r="D241">
        <f t="shared" si="21"/>
        <v>81.484794033698037</v>
      </c>
      <c r="E241">
        <f t="shared" si="22"/>
        <v>385.55</v>
      </c>
      <c r="F241">
        <f t="shared" si="23"/>
        <v>42209.740376832669</v>
      </c>
    </row>
    <row r="242" spans="1:6" x14ac:dyDescent="0.3">
      <c r="A242">
        <f t="shared" si="18"/>
        <v>122</v>
      </c>
      <c r="B242" s="2">
        <f t="shared" si="19"/>
        <v>53418</v>
      </c>
      <c r="C242">
        <f t="shared" si="20"/>
        <v>304.64799761107071</v>
      </c>
      <c r="D242">
        <f t="shared" si="21"/>
        <v>80.90200238892929</v>
      </c>
      <c r="E242">
        <f t="shared" si="22"/>
        <v>385.55</v>
      </c>
      <c r="F242">
        <f t="shared" si="23"/>
        <v>41905.092379221598</v>
      </c>
    </row>
    <row r="243" spans="1:6" x14ac:dyDescent="0.3">
      <c r="A243">
        <f t="shared" si="18"/>
        <v>121</v>
      </c>
      <c r="B243" s="2">
        <f t="shared" si="19"/>
        <v>53448</v>
      </c>
      <c r="C243">
        <f t="shared" si="20"/>
        <v>305.23190627315864</v>
      </c>
      <c r="D243">
        <f t="shared" si="21"/>
        <v>80.318093726841397</v>
      </c>
      <c r="E243">
        <f t="shared" si="22"/>
        <v>385.55</v>
      </c>
      <c r="F243">
        <f t="shared" si="23"/>
        <v>41599.860472948436</v>
      </c>
    </row>
    <row r="244" spans="1:6" x14ac:dyDescent="0.3">
      <c r="A244">
        <f t="shared" si="18"/>
        <v>120</v>
      </c>
      <c r="B244" s="2">
        <f t="shared" si="19"/>
        <v>53479</v>
      </c>
      <c r="C244">
        <f t="shared" si="20"/>
        <v>305.8169340935155</v>
      </c>
      <c r="D244">
        <f t="shared" si="21"/>
        <v>79.733065906484498</v>
      </c>
      <c r="E244">
        <f t="shared" si="22"/>
        <v>385.55</v>
      </c>
      <c r="F244">
        <f t="shared" si="23"/>
        <v>41294.043538854923</v>
      </c>
    </row>
    <row r="245" spans="1:6" x14ac:dyDescent="0.3">
      <c r="A245">
        <f t="shared" si="18"/>
        <v>119</v>
      </c>
      <c r="B245" s="2">
        <f t="shared" si="19"/>
        <v>53509</v>
      </c>
      <c r="C245">
        <f t="shared" si="20"/>
        <v>306.40308321719476</v>
      </c>
      <c r="D245">
        <f t="shared" si="21"/>
        <v>79.146916782805263</v>
      </c>
      <c r="E245">
        <f t="shared" si="22"/>
        <v>385.55</v>
      </c>
      <c r="F245">
        <f t="shared" si="23"/>
        <v>40987.640455637731</v>
      </c>
    </row>
    <row r="246" spans="1:6" x14ac:dyDescent="0.3">
      <c r="A246">
        <f t="shared" si="18"/>
        <v>118</v>
      </c>
      <c r="B246" s="2">
        <f t="shared" si="19"/>
        <v>53540</v>
      </c>
      <c r="C246">
        <f t="shared" si="20"/>
        <v>306.990355793361</v>
      </c>
      <c r="D246">
        <f t="shared" si="21"/>
        <v>78.559644206638993</v>
      </c>
      <c r="E246">
        <f t="shared" si="22"/>
        <v>385.55</v>
      </c>
      <c r="F246">
        <f t="shared" si="23"/>
        <v>40680.650099844373</v>
      </c>
    </row>
    <row r="247" spans="1:6" x14ac:dyDescent="0.3">
      <c r="A247">
        <f t="shared" si="18"/>
        <v>117</v>
      </c>
      <c r="B247" s="2">
        <f t="shared" si="19"/>
        <v>53571</v>
      </c>
      <c r="C247">
        <f t="shared" si="20"/>
        <v>307.5787539752983</v>
      </c>
      <c r="D247">
        <f t="shared" si="21"/>
        <v>77.971246024701713</v>
      </c>
      <c r="E247">
        <f t="shared" si="22"/>
        <v>385.55</v>
      </c>
      <c r="F247">
        <f t="shared" si="23"/>
        <v>40373.071345869073</v>
      </c>
    </row>
    <row r="248" spans="1:6" x14ac:dyDescent="0.3">
      <c r="A248">
        <f t="shared" si="18"/>
        <v>116</v>
      </c>
      <c r="B248" s="2">
        <f t="shared" si="19"/>
        <v>53601</v>
      </c>
      <c r="C248">
        <f t="shared" si="20"/>
        <v>308.1682799204176</v>
      </c>
      <c r="D248">
        <f t="shared" si="21"/>
        <v>77.381720079582394</v>
      </c>
      <c r="E248">
        <f t="shared" si="22"/>
        <v>385.55</v>
      </c>
      <c r="F248">
        <f t="shared" si="23"/>
        <v>40064.903065948653</v>
      </c>
    </row>
    <row r="249" spans="1:6" x14ac:dyDescent="0.3">
      <c r="A249">
        <f t="shared" si="18"/>
        <v>115</v>
      </c>
      <c r="B249" s="2">
        <f t="shared" si="19"/>
        <v>53632</v>
      </c>
      <c r="C249">
        <f t="shared" si="20"/>
        <v>308.75893579026513</v>
      </c>
      <c r="D249">
        <f t="shared" si="21"/>
        <v>76.791064209734913</v>
      </c>
      <c r="E249">
        <f t="shared" si="22"/>
        <v>385.55</v>
      </c>
      <c r="F249">
        <f t="shared" si="23"/>
        <v>39756.144130158391</v>
      </c>
    </row>
    <row r="250" spans="1:6" x14ac:dyDescent="0.3">
      <c r="A250">
        <f t="shared" si="18"/>
        <v>114</v>
      </c>
      <c r="B250" s="2">
        <f t="shared" si="19"/>
        <v>53662</v>
      </c>
      <c r="C250">
        <f t="shared" si="20"/>
        <v>309.35072375052977</v>
      </c>
      <c r="D250">
        <f t="shared" si="21"/>
        <v>76.199276249470245</v>
      </c>
      <c r="E250">
        <f t="shared" si="22"/>
        <v>385.55</v>
      </c>
      <c r="F250">
        <f t="shared" si="23"/>
        <v>39446.793406407858</v>
      </c>
    </row>
    <row r="251" spans="1:6" x14ac:dyDescent="0.3">
      <c r="A251">
        <f t="shared" si="18"/>
        <v>113</v>
      </c>
      <c r="B251" s="2">
        <f t="shared" si="19"/>
        <v>53693</v>
      </c>
      <c r="C251">
        <f t="shared" si="20"/>
        <v>309.94364597105164</v>
      </c>
      <c r="D251">
        <f t="shared" si="21"/>
        <v>75.606354028948388</v>
      </c>
      <c r="E251">
        <f t="shared" si="22"/>
        <v>385.55</v>
      </c>
      <c r="F251">
        <f t="shared" si="23"/>
        <v>39136.849760436809</v>
      </c>
    </row>
    <row r="252" spans="1:6" x14ac:dyDescent="0.3">
      <c r="A252">
        <f t="shared" si="18"/>
        <v>112</v>
      </c>
      <c r="B252" s="2">
        <f t="shared" si="19"/>
        <v>53724</v>
      </c>
      <c r="C252">
        <f t="shared" si="20"/>
        <v>310.53770462582946</v>
      </c>
      <c r="D252">
        <f t="shared" si="21"/>
        <v>75.012295374170549</v>
      </c>
      <c r="E252">
        <f t="shared" si="22"/>
        <v>385.55</v>
      </c>
      <c r="F252">
        <f t="shared" si="23"/>
        <v>38826.31205581098</v>
      </c>
    </row>
    <row r="253" spans="1:6" x14ac:dyDescent="0.3">
      <c r="A253">
        <f t="shared" si="18"/>
        <v>111</v>
      </c>
      <c r="B253" s="2">
        <f t="shared" si="19"/>
        <v>53752</v>
      </c>
      <c r="C253">
        <f t="shared" si="20"/>
        <v>311.13290189302899</v>
      </c>
      <c r="D253">
        <f t="shared" si="21"/>
        <v>74.417098106971039</v>
      </c>
      <c r="E253">
        <f t="shared" si="22"/>
        <v>385.55</v>
      </c>
      <c r="F253">
        <f t="shared" si="23"/>
        <v>38515.179153917954</v>
      </c>
    </row>
    <row r="254" spans="1:6" x14ac:dyDescent="0.3">
      <c r="A254">
        <f t="shared" si="18"/>
        <v>110</v>
      </c>
      <c r="B254" s="2">
        <f t="shared" si="19"/>
        <v>53783</v>
      </c>
      <c r="C254">
        <f t="shared" si="20"/>
        <v>311.72923995499059</v>
      </c>
      <c r="D254">
        <f t="shared" si="21"/>
        <v>73.820760045009408</v>
      </c>
      <c r="E254">
        <f t="shared" si="22"/>
        <v>385.55</v>
      </c>
      <c r="F254">
        <f t="shared" si="23"/>
        <v>38203.449913962962</v>
      </c>
    </row>
    <row r="255" spans="1:6" x14ac:dyDescent="0.3">
      <c r="A255">
        <f t="shared" si="18"/>
        <v>109</v>
      </c>
      <c r="B255" s="2">
        <f t="shared" si="19"/>
        <v>53813</v>
      </c>
      <c r="C255">
        <f t="shared" si="20"/>
        <v>312.32672099823765</v>
      </c>
      <c r="D255">
        <f t="shared" si="21"/>
        <v>73.22327900176235</v>
      </c>
      <c r="E255">
        <f t="shared" si="22"/>
        <v>385.55</v>
      </c>
      <c r="F255">
        <f t="shared" si="23"/>
        <v>37891.123192964726</v>
      </c>
    </row>
    <row r="256" spans="1:6" x14ac:dyDescent="0.3">
      <c r="A256">
        <f t="shared" si="18"/>
        <v>108</v>
      </c>
      <c r="B256" s="2">
        <f t="shared" si="19"/>
        <v>53844</v>
      </c>
      <c r="C256">
        <f t="shared" si="20"/>
        <v>312.92534721348432</v>
      </c>
      <c r="D256">
        <f t="shared" si="21"/>
        <v>72.624652786515725</v>
      </c>
      <c r="E256">
        <f t="shared" si="22"/>
        <v>385.55</v>
      </c>
      <c r="F256">
        <f t="shared" si="23"/>
        <v>37578.197845751238</v>
      </c>
    </row>
    <row r="257" spans="1:6" x14ac:dyDescent="0.3">
      <c r="A257">
        <f t="shared" si="18"/>
        <v>107</v>
      </c>
      <c r="B257" s="2">
        <f t="shared" si="19"/>
        <v>53874</v>
      </c>
      <c r="C257">
        <f t="shared" si="20"/>
        <v>313.52512079564349</v>
      </c>
      <c r="D257">
        <f t="shared" si="21"/>
        <v>72.024879204356537</v>
      </c>
      <c r="E257">
        <f t="shared" si="22"/>
        <v>385.55</v>
      </c>
      <c r="F257">
        <f t="shared" si="23"/>
        <v>37264.672724955592</v>
      </c>
    </row>
    <row r="258" spans="1:6" x14ac:dyDescent="0.3">
      <c r="A258">
        <f t="shared" si="18"/>
        <v>106</v>
      </c>
      <c r="B258" s="2">
        <f t="shared" si="19"/>
        <v>53905</v>
      </c>
      <c r="C258">
        <f t="shared" si="20"/>
        <v>314.12604394383516</v>
      </c>
      <c r="D258">
        <f t="shared" si="21"/>
        <v>71.423956056164883</v>
      </c>
      <c r="E258">
        <f t="shared" si="22"/>
        <v>385.55</v>
      </c>
      <c r="F258">
        <f t="shared" si="23"/>
        <v>36950.546681011758</v>
      </c>
    </row>
    <row r="259" spans="1:6" x14ac:dyDescent="0.3">
      <c r="A259">
        <f t="shared" si="18"/>
        <v>105</v>
      </c>
      <c r="B259" s="2">
        <f t="shared" si="19"/>
        <v>53936</v>
      </c>
      <c r="C259">
        <f t="shared" si="20"/>
        <v>314.72811886139414</v>
      </c>
      <c r="D259">
        <f t="shared" si="21"/>
        <v>70.82188113860586</v>
      </c>
      <c r="E259">
        <f t="shared" si="22"/>
        <v>385.55</v>
      </c>
      <c r="F259">
        <f t="shared" si="23"/>
        <v>36635.818562150365</v>
      </c>
    </row>
    <row r="260" spans="1:6" x14ac:dyDescent="0.3">
      <c r="A260">
        <f t="shared" si="18"/>
        <v>104</v>
      </c>
      <c r="B260" s="2">
        <f t="shared" si="19"/>
        <v>53966</v>
      </c>
      <c r="C260">
        <f t="shared" si="20"/>
        <v>315.33134775587848</v>
      </c>
      <c r="D260">
        <f t="shared" si="21"/>
        <v>70.218652244121529</v>
      </c>
      <c r="E260">
        <f t="shared" si="22"/>
        <v>385.55</v>
      </c>
      <c r="F260">
        <f t="shared" si="23"/>
        <v>36320.487214394489</v>
      </c>
    </row>
    <row r="261" spans="1:6" x14ac:dyDescent="0.3">
      <c r="A261">
        <f t="shared" si="18"/>
        <v>103</v>
      </c>
      <c r="B261" s="2">
        <f t="shared" si="19"/>
        <v>53997</v>
      </c>
      <c r="C261">
        <f t="shared" si="20"/>
        <v>315.93573283907722</v>
      </c>
      <c r="D261">
        <f t="shared" si="21"/>
        <v>69.614267160922765</v>
      </c>
      <c r="E261">
        <f t="shared" si="22"/>
        <v>385.55</v>
      </c>
      <c r="F261">
        <f t="shared" si="23"/>
        <v>36004.551481555412</v>
      </c>
    </row>
    <row r="262" spans="1:6" x14ac:dyDescent="0.3">
      <c r="A262">
        <f t="shared" si="18"/>
        <v>102</v>
      </c>
      <c r="B262" s="2">
        <f t="shared" si="19"/>
        <v>54027</v>
      </c>
      <c r="C262">
        <f t="shared" si="20"/>
        <v>316.54127632701881</v>
      </c>
      <c r="D262">
        <f t="shared" si="21"/>
        <v>69.008723672981205</v>
      </c>
      <c r="E262">
        <f t="shared" si="22"/>
        <v>385.55</v>
      </c>
      <c r="F262">
        <f t="shared" si="23"/>
        <v>35688.010205228391</v>
      </c>
    </row>
    <row r="263" spans="1:6" x14ac:dyDescent="0.3">
      <c r="A263">
        <f t="shared" ref="A263:A326" si="24">A262-1</f>
        <v>101</v>
      </c>
      <c r="B263" s="2">
        <f t="shared" si="19"/>
        <v>54058</v>
      </c>
      <c r="C263">
        <f t="shared" si="20"/>
        <v>317.14798043997894</v>
      </c>
      <c r="D263">
        <f t="shared" si="21"/>
        <v>68.402019560021088</v>
      </c>
      <c r="E263">
        <f t="shared" si="22"/>
        <v>385.55</v>
      </c>
      <c r="F263">
        <f t="shared" si="23"/>
        <v>35370.862224788412</v>
      </c>
    </row>
    <row r="264" spans="1:6" x14ac:dyDescent="0.3">
      <c r="A264">
        <f t="shared" si="24"/>
        <v>100</v>
      </c>
      <c r="B264" s="2">
        <f t="shared" ref="B264:B327" si="25">EDATE(B263,1)</f>
        <v>54089</v>
      </c>
      <c r="C264">
        <f t="shared" ref="C264:C327" si="26">$C$2-D264</f>
        <v>317.75584740248888</v>
      </c>
      <c r="D264">
        <f t="shared" ref="D264:D327" si="27">F263*$B$2/12</f>
        <v>67.794152597511115</v>
      </c>
      <c r="E264">
        <f t="shared" ref="E264:E327" si="28">$C$2</f>
        <v>385.55</v>
      </c>
      <c r="F264">
        <f t="shared" ref="F264:F327" si="29">F263-C264</f>
        <v>35053.10637738592</v>
      </c>
    </row>
    <row r="265" spans="1:6" x14ac:dyDescent="0.3">
      <c r="A265">
        <f t="shared" si="24"/>
        <v>99</v>
      </c>
      <c r="B265" s="2">
        <f t="shared" si="25"/>
        <v>54118</v>
      </c>
      <c r="C265">
        <f t="shared" si="26"/>
        <v>318.36487944334368</v>
      </c>
      <c r="D265">
        <f t="shared" si="27"/>
        <v>67.185120556656344</v>
      </c>
      <c r="E265">
        <f t="shared" si="28"/>
        <v>385.55</v>
      </c>
      <c r="F265">
        <f t="shared" si="29"/>
        <v>34734.741497942574</v>
      </c>
    </row>
    <row r="266" spans="1:6" x14ac:dyDescent="0.3">
      <c r="A266">
        <f t="shared" si="24"/>
        <v>98</v>
      </c>
      <c r="B266" s="2">
        <f t="shared" si="25"/>
        <v>54149</v>
      </c>
      <c r="C266">
        <f t="shared" si="26"/>
        <v>318.9750787956101</v>
      </c>
      <c r="D266">
        <f t="shared" si="27"/>
        <v>66.574921204389923</v>
      </c>
      <c r="E266">
        <f t="shared" si="28"/>
        <v>385.55</v>
      </c>
      <c r="F266">
        <f t="shared" si="29"/>
        <v>34415.766419146967</v>
      </c>
    </row>
    <row r="267" spans="1:6" x14ac:dyDescent="0.3">
      <c r="A267">
        <f t="shared" si="24"/>
        <v>97</v>
      </c>
      <c r="B267" s="2">
        <f t="shared" si="25"/>
        <v>54179</v>
      </c>
      <c r="C267">
        <f t="shared" si="26"/>
        <v>319.58644769663499</v>
      </c>
      <c r="D267">
        <f t="shared" si="27"/>
        <v>65.96355230336502</v>
      </c>
      <c r="E267">
        <f t="shared" si="28"/>
        <v>385.55</v>
      </c>
      <c r="F267">
        <f t="shared" si="29"/>
        <v>34096.179971450329</v>
      </c>
    </row>
    <row r="268" spans="1:6" x14ac:dyDescent="0.3">
      <c r="A268">
        <f t="shared" si="24"/>
        <v>96</v>
      </c>
      <c r="B268" s="2">
        <f t="shared" si="25"/>
        <v>54210</v>
      </c>
      <c r="C268">
        <f t="shared" si="26"/>
        <v>320.19898838805352</v>
      </c>
      <c r="D268">
        <f t="shared" si="27"/>
        <v>65.351011611946461</v>
      </c>
      <c r="E268">
        <f t="shared" si="28"/>
        <v>385.55</v>
      </c>
      <c r="F268">
        <f t="shared" si="29"/>
        <v>33775.980983062276</v>
      </c>
    </row>
    <row r="269" spans="1:6" x14ac:dyDescent="0.3">
      <c r="A269">
        <f t="shared" si="24"/>
        <v>95</v>
      </c>
      <c r="B269" s="2">
        <f t="shared" si="25"/>
        <v>54240</v>
      </c>
      <c r="C269">
        <f t="shared" si="26"/>
        <v>320.81270311579732</v>
      </c>
      <c r="D269">
        <f t="shared" si="27"/>
        <v>64.737296884202692</v>
      </c>
      <c r="E269">
        <f t="shared" si="28"/>
        <v>385.55</v>
      </c>
      <c r="F269">
        <f t="shared" si="29"/>
        <v>33455.168279946476</v>
      </c>
    </row>
    <row r="270" spans="1:6" x14ac:dyDescent="0.3">
      <c r="A270">
        <f t="shared" si="24"/>
        <v>94</v>
      </c>
      <c r="B270" s="2">
        <f t="shared" si="25"/>
        <v>54271</v>
      </c>
      <c r="C270">
        <f t="shared" si="26"/>
        <v>321.42759413010259</v>
      </c>
      <c r="D270">
        <f t="shared" si="27"/>
        <v>64.122405869897406</v>
      </c>
      <c r="E270">
        <f t="shared" si="28"/>
        <v>385.55</v>
      </c>
      <c r="F270">
        <f t="shared" si="29"/>
        <v>33133.740685816374</v>
      </c>
    </row>
    <row r="271" spans="1:6" x14ac:dyDescent="0.3">
      <c r="A271">
        <f t="shared" si="24"/>
        <v>93</v>
      </c>
      <c r="B271" s="2">
        <f t="shared" si="25"/>
        <v>54302</v>
      </c>
      <c r="C271">
        <f t="shared" si="26"/>
        <v>322.04366368551865</v>
      </c>
      <c r="D271">
        <f t="shared" si="27"/>
        <v>63.506336314481381</v>
      </c>
      <c r="E271">
        <f t="shared" si="28"/>
        <v>385.55</v>
      </c>
      <c r="F271">
        <f t="shared" si="29"/>
        <v>32811.697022130858</v>
      </c>
    </row>
    <row r="272" spans="1:6" x14ac:dyDescent="0.3">
      <c r="A272">
        <f t="shared" si="24"/>
        <v>92</v>
      </c>
      <c r="B272" s="2">
        <f t="shared" si="25"/>
        <v>54332</v>
      </c>
      <c r="C272">
        <f t="shared" si="26"/>
        <v>322.66091404091588</v>
      </c>
      <c r="D272">
        <f t="shared" si="27"/>
        <v>62.889085959084149</v>
      </c>
      <c r="E272">
        <f t="shared" si="28"/>
        <v>385.55</v>
      </c>
      <c r="F272">
        <f t="shared" si="29"/>
        <v>32489.036108089942</v>
      </c>
    </row>
    <row r="273" spans="1:6" x14ac:dyDescent="0.3">
      <c r="A273">
        <f t="shared" si="24"/>
        <v>91</v>
      </c>
      <c r="B273" s="2">
        <f t="shared" si="25"/>
        <v>54363</v>
      </c>
      <c r="C273">
        <f t="shared" si="26"/>
        <v>323.27934745949426</v>
      </c>
      <c r="D273">
        <f t="shared" si="27"/>
        <v>62.270652540505722</v>
      </c>
      <c r="E273">
        <f t="shared" si="28"/>
        <v>385.55</v>
      </c>
      <c r="F273">
        <f t="shared" si="29"/>
        <v>32165.756760630447</v>
      </c>
    </row>
    <row r="274" spans="1:6" x14ac:dyDescent="0.3">
      <c r="A274">
        <f t="shared" si="24"/>
        <v>90</v>
      </c>
      <c r="B274" s="2">
        <f t="shared" si="25"/>
        <v>54393</v>
      </c>
      <c r="C274">
        <f t="shared" si="26"/>
        <v>323.89896620879165</v>
      </c>
      <c r="D274">
        <f t="shared" si="27"/>
        <v>61.651033791208356</v>
      </c>
      <c r="E274">
        <f t="shared" si="28"/>
        <v>385.55</v>
      </c>
      <c r="F274">
        <f t="shared" si="29"/>
        <v>31841.857794421656</v>
      </c>
    </row>
    <row r="275" spans="1:6" x14ac:dyDescent="0.3">
      <c r="A275">
        <f t="shared" si="24"/>
        <v>89</v>
      </c>
      <c r="B275" s="2">
        <f t="shared" si="25"/>
        <v>54424</v>
      </c>
      <c r="C275">
        <f t="shared" si="26"/>
        <v>324.51977256069182</v>
      </c>
      <c r="D275">
        <f t="shared" si="27"/>
        <v>61.03022743930817</v>
      </c>
      <c r="E275">
        <f t="shared" si="28"/>
        <v>385.55</v>
      </c>
      <c r="F275">
        <f t="shared" si="29"/>
        <v>31517.338021860964</v>
      </c>
    </row>
    <row r="276" spans="1:6" x14ac:dyDescent="0.3">
      <c r="A276">
        <f t="shared" si="24"/>
        <v>88</v>
      </c>
      <c r="B276" s="2">
        <f t="shared" si="25"/>
        <v>54455</v>
      </c>
      <c r="C276">
        <f t="shared" si="26"/>
        <v>325.14176879143315</v>
      </c>
      <c r="D276">
        <f t="shared" si="27"/>
        <v>60.408231208566839</v>
      </c>
      <c r="E276">
        <f t="shared" si="28"/>
        <v>385.55</v>
      </c>
      <c r="F276">
        <f t="shared" si="29"/>
        <v>31192.196253069531</v>
      </c>
    </row>
    <row r="277" spans="1:6" x14ac:dyDescent="0.3">
      <c r="A277">
        <f t="shared" si="24"/>
        <v>87</v>
      </c>
      <c r="B277" s="2">
        <f t="shared" si="25"/>
        <v>54483</v>
      </c>
      <c r="C277">
        <f t="shared" si="26"/>
        <v>325.76495718161675</v>
      </c>
      <c r="D277">
        <f t="shared" si="27"/>
        <v>59.785042818383268</v>
      </c>
      <c r="E277">
        <f t="shared" si="28"/>
        <v>385.55</v>
      </c>
      <c r="F277">
        <f t="shared" si="29"/>
        <v>30866.431295887913</v>
      </c>
    </row>
    <row r="278" spans="1:6" x14ac:dyDescent="0.3">
      <c r="A278">
        <f t="shared" si="24"/>
        <v>86</v>
      </c>
      <c r="B278" s="2">
        <f t="shared" si="25"/>
        <v>54514</v>
      </c>
      <c r="C278">
        <f t="shared" si="26"/>
        <v>326.38934001621487</v>
      </c>
      <c r="D278">
        <f t="shared" si="27"/>
        <v>59.160659983785166</v>
      </c>
      <c r="E278">
        <f t="shared" si="28"/>
        <v>385.55</v>
      </c>
      <c r="F278">
        <f t="shared" si="29"/>
        <v>30540.041955871697</v>
      </c>
    </row>
    <row r="279" spans="1:6" x14ac:dyDescent="0.3">
      <c r="A279">
        <f t="shared" si="24"/>
        <v>85</v>
      </c>
      <c r="B279" s="2">
        <f t="shared" si="25"/>
        <v>54544</v>
      </c>
      <c r="C279">
        <f t="shared" si="26"/>
        <v>327.01491958457927</v>
      </c>
      <c r="D279">
        <f t="shared" si="27"/>
        <v>58.535080415420758</v>
      </c>
      <c r="E279">
        <f t="shared" si="28"/>
        <v>385.55</v>
      </c>
      <c r="F279">
        <f t="shared" si="29"/>
        <v>30213.027036287116</v>
      </c>
    </row>
    <row r="280" spans="1:6" x14ac:dyDescent="0.3">
      <c r="A280">
        <f t="shared" si="24"/>
        <v>84</v>
      </c>
      <c r="B280" s="2">
        <f t="shared" si="25"/>
        <v>54575</v>
      </c>
      <c r="C280">
        <f t="shared" si="26"/>
        <v>327.64169818044968</v>
      </c>
      <c r="D280">
        <f t="shared" si="27"/>
        <v>57.908301819550303</v>
      </c>
      <c r="E280">
        <f t="shared" si="28"/>
        <v>385.55</v>
      </c>
      <c r="F280">
        <f t="shared" si="29"/>
        <v>29885.385338106666</v>
      </c>
    </row>
    <row r="281" spans="1:6" x14ac:dyDescent="0.3">
      <c r="A281">
        <f t="shared" si="24"/>
        <v>83</v>
      </c>
      <c r="B281" s="2">
        <f t="shared" si="25"/>
        <v>54605</v>
      </c>
      <c r="C281">
        <f t="shared" si="26"/>
        <v>328.26967810196226</v>
      </c>
      <c r="D281">
        <f t="shared" si="27"/>
        <v>57.280321898037776</v>
      </c>
      <c r="E281">
        <f t="shared" si="28"/>
        <v>385.55</v>
      </c>
      <c r="F281">
        <f t="shared" si="29"/>
        <v>29557.115660004703</v>
      </c>
    </row>
    <row r="282" spans="1:6" x14ac:dyDescent="0.3">
      <c r="A282">
        <f t="shared" si="24"/>
        <v>82</v>
      </c>
      <c r="B282" s="2">
        <f t="shared" si="25"/>
        <v>54636</v>
      </c>
      <c r="C282">
        <f t="shared" si="26"/>
        <v>328.89886165165768</v>
      </c>
      <c r="D282">
        <f t="shared" si="27"/>
        <v>56.65113834834235</v>
      </c>
      <c r="E282">
        <f t="shared" si="28"/>
        <v>385.55</v>
      </c>
      <c r="F282">
        <f t="shared" si="29"/>
        <v>29228.216798353045</v>
      </c>
    </row>
    <row r="283" spans="1:6" x14ac:dyDescent="0.3">
      <c r="A283">
        <f t="shared" si="24"/>
        <v>81</v>
      </c>
      <c r="B283" s="2">
        <f t="shared" si="25"/>
        <v>54667</v>
      </c>
      <c r="C283">
        <f t="shared" si="26"/>
        <v>329.52925113649002</v>
      </c>
      <c r="D283">
        <f t="shared" si="27"/>
        <v>56.020748863510001</v>
      </c>
      <c r="E283">
        <f t="shared" si="28"/>
        <v>385.55</v>
      </c>
      <c r="F283">
        <f t="shared" si="29"/>
        <v>28898.687547216556</v>
      </c>
    </row>
    <row r="284" spans="1:6" x14ac:dyDescent="0.3">
      <c r="A284">
        <f t="shared" si="24"/>
        <v>80</v>
      </c>
      <c r="B284" s="2">
        <f t="shared" si="25"/>
        <v>54697</v>
      </c>
      <c r="C284">
        <f t="shared" si="26"/>
        <v>330.16084886783494</v>
      </c>
      <c r="D284">
        <f t="shared" si="27"/>
        <v>55.389151132165068</v>
      </c>
      <c r="E284">
        <f t="shared" si="28"/>
        <v>385.55</v>
      </c>
      <c r="F284">
        <f t="shared" si="29"/>
        <v>28568.52669834872</v>
      </c>
    </row>
    <row r="285" spans="1:6" x14ac:dyDescent="0.3">
      <c r="A285">
        <f t="shared" si="24"/>
        <v>79</v>
      </c>
      <c r="B285" s="2">
        <f t="shared" si="25"/>
        <v>54728</v>
      </c>
      <c r="C285">
        <f t="shared" si="26"/>
        <v>330.79365716149829</v>
      </c>
      <c r="D285">
        <f t="shared" si="27"/>
        <v>54.756342838501716</v>
      </c>
      <c r="E285">
        <f t="shared" si="28"/>
        <v>385.55</v>
      </c>
      <c r="F285">
        <f t="shared" si="29"/>
        <v>28237.733041187221</v>
      </c>
    </row>
    <row r="286" spans="1:6" x14ac:dyDescent="0.3">
      <c r="A286">
        <f t="shared" si="24"/>
        <v>78</v>
      </c>
      <c r="B286" s="2">
        <f t="shared" si="25"/>
        <v>54758</v>
      </c>
      <c r="C286">
        <f t="shared" si="26"/>
        <v>331.4276783377245</v>
      </c>
      <c r="D286">
        <f t="shared" si="27"/>
        <v>54.12232166227551</v>
      </c>
      <c r="E286">
        <f t="shared" si="28"/>
        <v>385.55</v>
      </c>
      <c r="F286">
        <f t="shared" si="29"/>
        <v>27906.305362849496</v>
      </c>
    </row>
    <row r="287" spans="1:6" x14ac:dyDescent="0.3">
      <c r="A287">
        <f t="shared" si="24"/>
        <v>77</v>
      </c>
      <c r="B287" s="2">
        <f t="shared" si="25"/>
        <v>54789</v>
      </c>
      <c r="C287">
        <f t="shared" si="26"/>
        <v>332.06291472120517</v>
      </c>
      <c r="D287">
        <f t="shared" si="27"/>
        <v>53.487085278794865</v>
      </c>
      <c r="E287">
        <f t="shared" si="28"/>
        <v>385.55</v>
      </c>
      <c r="F287">
        <f t="shared" si="29"/>
        <v>27574.242448128291</v>
      </c>
    </row>
    <row r="288" spans="1:6" x14ac:dyDescent="0.3">
      <c r="A288">
        <f t="shared" si="24"/>
        <v>76</v>
      </c>
      <c r="B288" s="2">
        <f t="shared" si="25"/>
        <v>54820</v>
      </c>
      <c r="C288">
        <f t="shared" si="26"/>
        <v>332.69936864108746</v>
      </c>
      <c r="D288">
        <f t="shared" si="27"/>
        <v>52.850631358912558</v>
      </c>
      <c r="E288">
        <f t="shared" si="28"/>
        <v>385.55</v>
      </c>
      <c r="F288">
        <f t="shared" si="29"/>
        <v>27241.543079487205</v>
      </c>
    </row>
    <row r="289" spans="1:6" x14ac:dyDescent="0.3">
      <c r="A289">
        <f t="shared" si="24"/>
        <v>75</v>
      </c>
      <c r="B289" s="2">
        <f t="shared" si="25"/>
        <v>54848</v>
      </c>
      <c r="C289">
        <f t="shared" si="26"/>
        <v>333.33704243098288</v>
      </c>
      <c r="D289">
        <f t="shared" si="27"/>
        <v>52.212957569017142</v>
      </c>
      <c r="E289">
        <f t="shared" si="28"/>
        <v>385.55</v>
      </c>
      <c r="F289">
        <f t="shared" si="29"/>
        <v>26908.206037056221</v>
      </c>
    </row>
    <row r="290" spans="1:6" x14ac:dyDescent="0.3">
      <c r="A290">
        <f t="shared" si="24"/>
        <v>74</v>
      </c>
      <c r="B290" s="2">
        <f t="shared" si="25"/>
        <v>54879</v>
      </c>
      <c r="C290">
        <f t="shared" si="26"/>
        <v>333.97593842897561</v>
      </c>
      <c r="D290">
        <f t="shared" si="27"/>
        <v>51.574061571024423</v>
      </c>
      <c r="E290">
        <f t="shared" si="28"/>
        <v>385.55</v>
      </c>
      <c r="F290">
        <f t="shared" si="29"/>
        <v>26574.230098627246</v>
      </c>
    </row>
    <row r="291" spans="1:6" x14ac:dyDescent="0.3">
      <c r="A291">
        <f t="shared" si="24"/>
        <v>73</v>
      </c>
      <c r="B291" s="2">
        <f t="shared" si="25"/>
        <v>54909</v>
      </c>
      <c r="C291">
        <f t="shared" si="26"/>
        <v>334.61605897763116</v>
      </c>
      <c r="D291">
        <f t="shared" si="27"/>
        <v>50.933941022368884</v>
      </c>
      <c r="E291">
        <f t="shared" si="28"/>
        <v>385.55</v>
      </c>
      <c r="F291">
        <f t="shared" si="29"/>
        <v>26239.614039649616</v>
      </c>
    </row>
    <row r="292" spans="1:6" x14ac:dyDescent="0.3">
      <c r="A292">
        <f t="shared" si="24"/>
        <v>72</v>
      </c>
      <c r="B292" s="2">
        <f t="shared" si="25"/>
        <v>54940</v>
      </c>
      <c r="C292">
        <f t="shared" si="26"/>
        <v>335.2574064240049</v>
      </c>
      <c r="D292">
        <f t="shared" si="27"/>
        <v>50.292593575995092</v>
      </c>
      <c r="E292">
        <f t="shared" si="28"/>
        <v>385.55</v>
      </c>
      <c r="F292">
        <f t="shared" si="29"/>
        <v>25904.356633225612</v>
      </c>
    </row>
    <row r="293" spans="1:6" x14ac:dyDescent="0.3">
      <c r="A293">
        <f t="shared" si="24"/>
        <v>71</v>
      </c>
      <c r="B293" s="2">
        <f t="shared" si="25"/>
        <v>54970</v>
      </c>
      <c r="C293">
        <f t="shared" si="26"/>
        <v>335.89998311965093</v>
      </c>
      <c r="D293">
        <f t="shared" si="27"/>
        <v>49.650016880349085</v>
      </c>
      <c r="E293">
        <f t="shared" si="28"/>
        <v>385.55</v>
      </c>
      <c r="F293">
        <f t="shared" si="29"/>
        <v>25568.45665010596</v>
      </c>
    </row>
    <row r="294" spans="1:6" x14ac:dyDescent="0.3">
      <c r="A294">
        <f t="shared" si="24"/>
        <v>70</v>
      </c>
      <c r="B294" s="2">
        <f t="shared" si="25"/>
        <v>55001</v>
      </c>
      <c r="C294">
        <f t="shared" si="26"/>
        <v>336.54379142063027</v>
      </c>
      <c r="D294">
        <f t="shared" si="27"/>
        <v>49.006208579369762</v>
      </c>
      <c r="E294">
        <f t="shared" si="28"/>
        <v>385.55</v>
      </c>
      <c r="F294">
        <f t="shared" si="29"/>
        <v>25231.912858685329</v>
      </c>
    </row>
    <row r="295" spans="1:6" x14ac:dyDescent="0.3">
      <c r="A295">
        <f t="shared" si="24"/>
        <v>69</v>
      </c>
      <c r="B295" s="2">
        <f t="shared" si="25"/>
        <v>55032</v>
      </c>
      <c r="C295">
        <f t="shared" si="26"/>
        <v>337.18883368751978</v>
      </c>
      <c r="D295">
        <f t="shared" si="27"/>
        <v>48.361166312480215</v>
      </c>
      <c r="E295">
        <f t="shared" si="28"/>
        <v>385.55</v>
      </c>
      <c r="F295">
        <f t="shared" si="29"/>
        <v>24894.724024997809</v>
      </c>
    </row>
    <row r="296" spans="1:6" x14ac:dyDescent="0.3">
      <c r="A296">
        <f t="shared" si="24"/>
        <v>68</v>
      </c>
      <c r="B296" s="2">
        <f t="shared" si="25"/>
        <v>55062</v>
      </c>
      <c r="C296">
        <f t="shared" si="26"/>
        <v>337.83511228542091</v>
      </c>
      <c r="D296">
        <f t="shared" si="27"/>
        <v>47.714887714579135</v>
      </c>
      <c r="E296">
        <f t="shared" si="28"/>
        <v>385.55</v>
      </c>
      <c r="F296">
        <f t="shared" si="29"/>
        <v>24556.888912712388</v>
      </c>
    </row>
    <row r="297" spans="1:6" x14ac:dyDescent="0.3">
      <c r="A297">
        <f t="shared" si="24"/>
        <v>67</v>
      </c>
      <c r="B297" s="2">
        <f t="shared" si="25"/>
        <v>55093</v>
      </c>
      <c r="C297">
        <f t="shared" si="26"/>
        <v>338.48262958396793</v>
      </c>
      <c r="D297">
        <f t="shared" si="27"/>
        <v>47.067370416032077</v>
      </c>
      <c r="E297">
        <f t="shared" si="28"/>
        <v>385.55</v>
      </c>
      <c r="F297">
        <f t="shared" si="29"/>
        <v>24218.406283128421</v>
      </c>
    </row>
    <row r="298" spans="1:6" x14ac:dyDescent="0.3">
      <c r="A298">
        <f t="shared" si="24"/>
        <v>66</v>
      </c>
      <c r="B298" s="2">
        <f t="shared" si="25"/>
        <v>55123</v>
      </c>
      <c r="C298">
        <f t="shared" si="26"/>
        <v>339.13138795733721</v>
      </c>
      <c r="D298">
        <f t="shared" si="27"/>
        <v>46.418612042662808</v>
      </c>
      <c r="E298">
        <f t="shared" si="28"/>
        <v>385.55</v>
      </c>
      <c r="F298">
        <f t="shared" si="29"/>
        <v>23879.274895171082</v>
      </c>
    </row>
    <row r="299" spans="1:6" x14ac:dyDescent="0.3">
      <c r="A299">
        <f t="shared" si="24"/>
        <v>65</v>
      </c>
      <c r="B299" s="2">
        <f t="shared" si="25"/>
        <v>55154</v>
      </c>
      <c r="C299">
        <f t="shared" si="26"/>
        <v>339.78138978425545</v>
      </c>
      <c r="D299">
        <f t="shared" si="27"/>
        <v>45.768610215744566</v>
      </c>
      <c r="E299">
        <f t="shared" si="28"/>
        <v>385.55</v>
      </c>
      <c r="F299">
        <f t="shared" si="29"/>
        <v>23539.493505386825</v>
      </c>
    </row>
    <row r="300" spans="1:6" x14ac:dyDescent="0.3">
      <c r="A300">
        <f t="shared" si="24"/>
        <v>64</v>
      </c>
      <c r="B300" s="2">
        <f t="shared" si="25"/>
        <v>55185</v>
      </c>
      <c r="C300">
        <f t="shared" si="26"/>
        <v>340.43263744800862</v>
      </c>
      <c r="D300">
        <f t="shared" si="27"/>
        <v>45.117362551991413</v>
      </c>
      <c r="E300">
        <f t="shared" si="28"/>
        <v>385.55</v>
      </c>
      <c r="F300">
        <f t="shared" si="29"/>
        <v>23199.060867938817</v>
      </c>
    </row>
    <row r="301" spans="1:6" x14ac:dyDescent="0.3">
      <c r="A301">
        <f t="shared" si="24"/>
        <v>63</v>
      </c>
      <c r="B301" s="2">
        <f t="shared" si="25"/>
        <v>55213</v>
      </c>
      <c r="C301">
        <f t="shared" si="26"/>
        <v>341.08513333645061</v>
      </c>
      <c r="D301">
        <f t="shared" si="27"/>
        <v>44.464866663549401</v>
      </c>
      <c r="E301">
        <f t="shared" si="28"/>
        <v>385.55</v>
      </c>
      <c r="F301">
        <f t="shared" si="29"/>
        <v>22857.975734602365</v>
      </c>
    </row>
    <row r="302" spans="1:6" x14ac:dyDescent="0.3">
      <c r="A302">
        <f t="shared" si="24"/>
        <v>62</v>
      </c>
      <c r="B302" s="2">
        <f t="shared" si="25"/>
        <v>55244</v>
      </c>
      <c r="C302">
        <f t="shared" si="26"/>
        <v>341.73887984201212</v>
      </c>
      <c r="D302">
        <f t="shared" si="27"/>
        <v>43.811120157987865</v>
      </c>
      <c r="E302">
        <f t="shared" si="28"/>
        <v>385.55</v>
      </c>
      <c r="F302">
        <f t="shared" si="29"/>
        <v>22516.236854760355</v>
      </c>
    </row>
    <row r="303" spans="1:6" x14ac:dyDescent="0.3">
      <c r="A303">
        <f t="shared" si="24"/>
        <v>61</v>
      </c>
      <c r="B303" s="2">
        <f t="shared" si="25"/>
        <v>55274</v>
      </c>
      <c r="C303">
        <f t="shared" si="26"/>
        <v>342.39387936170931</v>
      </c>
      <c r="D303">
        <f t="shared" si="27"/>
        <v>43.15612063829068</v>
      </c>
      <c r="E303">
        <f t="shared" si="28"/>
        <v>385.55</v>
      </c>
      <c r="F303">
        <f t="shared" si="29"/>
        <v>22173.842975398646</v>
      </c>
    </row>
    <row r="304" spans="1:6" x14ac:dyDescent="0.3">
      <c r="A304">
        <f t="shared" si="24"/>
        <v>60</v>
      </c>
      <c r="B304" s="2">
        <f t="shared" si="25"/>
        <v>55305</v>
      </c>
      <c r="C304">
        <f t="shared" si="26"/>
        <v>343.05013429715262</v>
      </c>
      <c r="D304">
        <f t="shared" si="27"/>
        <v>42.499865702847401</v>
      </c>
      <c r="E304">
        <f t="shared" si="28"/>
        <v>385.55</v>
      </c>
      <c r="F304">
        <f t="shared" si="29"/>
        <v>21830.792841101495</v>
      </c>
    </row>
    <row r="305" spans="1:6" x14ac:dyDescent="0.3">
      <c r="A305">
        <f t="shared" si="24"/>
        <v>59</v>
      </c>
      <c r="B305" s="2">
        <f t="shared" si="25"/>
        <v>55335</v>
      </c>
      <c r="C305">
        <f t="shared" si="26"/>
        <v>343.70764705455548</v>
      </c>
      <c r="D305">
        <f t="shared" si="27"/>
        <v>41.842352945444532</v>
      </c>
      <c r="E305">
        <f t="shared" si="28"/>
        <v>385.55</v>
      </c>
      <c r="F305">
        <f t="shared" si="29"/>
        <v>21487.08519404694</v>
      </c>
    </row>
    <row r="306" spans="1:6" x14ac:dyDescent="0.3">
      <c r="A306">
        <f t="shared" si="24"/>
        <v>58</v>
      </c>
      <c r="B306" s="2">
        <f t="shared" si="25"/>
        <v>55366</v>
      </c>
      <c r="C306">
        <f t="shared" si="26"/>
        <v>344.36642004474339</v>
      </c>
      <c r="D306">
        <f t="shared" si="27"/>
        <v>41.183579955256633</v>
      </c>
      <c r="E306">
        <f t="shared" si="28"/>
        <v>385.55</v>
      </c>
      <c r="F306">
        <f t="shared" si="29"/>
        <v>21142.718774002198</v>
      </c>
    </row>
    <row r="307" spans="1:6" x14ac:dyDescent="0.3">
      <c r="A307">
        <f t="shared" si="24"/>
        <v>57</v>
      </c>
      <c r="B307" s="2">
        <f t="shared" si="25"/>
        <v>55397</v>
      </c>
      <c r="C307">
        <f t="shared" si="26"/>
        <v>345.02645568316245</v>
      </c>
      <c r="D307">
        <f t="shared" si="27"/>
        <v>40.523544316837544</v>
      </c>
      <c r="E307">
        <f t="shared" si="28"/>
        <v>385.55</v>
      </c>
      <c r="F307">
        <f t="shared" si="29"/>
        <v>20797.692318319037</v>
      </c>
    </row>
    <row r="308" spans="1:6" x14ac:dyDescent="0.3">
      <c r="A308">
        <f t="shared" si="24"/>
        <v>56</v>
      </c>
      <c r="B308" s="2">
        <f t="shared" si="25"/>
        <v>55427</v>
      </c>
      <c r="C308">
        <f t="shared" si="26"/>
        <v>345.68775638988853</v>
      </c>
      <c r="D308">
        <f t="shared" si="27"/>
        <v>39.862243610111484</v>
      </c>
      <c r="E308">
        <f t="shared" si="28"/>
        <v>385.55</v>
      </c>
      <c r="F308">
        <f t="shared" si="29"/>
        <v>20452.004561929149</v>
      </c>
    </row>
    <row r="309" spans="1:6" x14ac:dyDescent="0.3">
      <c r="A309">
        <f t="shared" si="24"/>
        <v>55</v>
      </c>
      <c r="B309" s="2">
        <f t="shared" si="25"/>
        <v>55458</v>
      </c>
      <c r="C309">
        <f t="shared" si="26"/>
        <v>346.35032458963582</v>
      </c>
      <c r="D309">
        <f t="shared" si="27"/>
        <v>39.1996754103642</v>
      </c>
      <c r="E309">
        <f t="shared" si="28"/>
        <v>385.55</v>
      </c>
      <c r="F309">
        <f t="shared" si="29"/>
        <v>20105.654237339513</v>
      </c>
    </row>
    <row r="310" spans="1:6" x14ac:dyDescent="0.3">
      <c r="A310">
        <f t="shared" si="24"/>
        <v>54</v>
      </c>
      <c r="B310" s="2">
        <f t="shared" si="25"/>
        <v>55488</v>
      </c>
      <c r="C310">
        <f t="shared" si="26"/>
        <v>347.01416271176595</v>
      </c>
      <c r="D310">
        <f t="shared" si="27"/>
        <v>38.53583728823407</v>
      </c>
      <c r="E310">
        <f t="shared" si="28"/>
        <v>385.55</v>
      </c>
      <c r="F310">
        <f t="shared" si="29"/>
        <v>19758.640074627747</v>
      </c>
    </row>
    <row r="311" spans="1:6" x14ac:dyDescent="0.3">
      <c r="A311">
        <f t="shared" si="24"/>
        <v>53</v>
      </c>
      <c r="B311" s="2">
        <f t="shared" si="25"/>
        <v>55519</v>
      </c>
      <c r="C311">
        <f t="shared" si="26"/>
        <v>347.67927319029684</v>
      </c>
      <c r="D311">
        <f t="shared" si="27"/>
        <v>37.870726809703179</v>
      </c>
      <c r="E311">
        <f t="shared" si="28"/>
        <v>385.55</v>
      </c>
      <c r="F311">
        <f t="shared" si="29"/>
        <v>19410.96080143745</v>
      </c>
    </row>
    <row r="312" spans="1:6" x14ac:dyDescent="0.3">
      <c r="A312">
        <f t="shared" si="24"/>
        <v>52</v>
      </c>
      <c r="B312" s="2">
        <f t="shared" si="25"/>
        <v>55550</v>
      </c>
      <c r="C312">
        <f t="shared" si="26"/>
        <v>348.34565846391155</v>
      </c>
      <c r="D312">
        <f t="shared" si="27"/>
        <v>37.204341536088442</v>
      </c>
      <c r="E312">
        <f t="shared" si="28"/>
        <v>385.55</v>
      </c>
      <c r="F312">
        <f t="shared" si="29"/>
        <v>19062.61514297354</v>
      </c>
    </row>
    <row r="313" spans="1:6" x14ac:dyDescent="0.3">
      <c r="A313">
        <f t="shared" si="24"/>
        <v>51</v>
      </c>
      <c r="B313" s="2">
        <f t="shared" si="25"/>
        <v>55579</v>
      </c>
      <c r="C313">
        <f t="shared" si="26"/>
        <v>349.01332097596742</v>
      </c>
      <c r="D313">
        <f t="shared" si="27"/>
        <v>36.536679024032615</v>
      </c>
      <c r="E313">
        <f t="shared" si="28"/>
        <v>385.55</v>
      </c>
      <c r="F313">
        <f t="shared" si="29"/>
        <v>18713.601821997574</v>
      </c>
    </row>
    <row r="314" spans="1:6" x14ac:dyDescent="0.3">
      <c r="A314">
        <f t="shared" si="24"/>
        <v>50</v>
      </c>
      <c r="B314" s="2">
        <f t="shared" si="25"/>
        <v>55610</v>
      </c>
      <c r="C314">
        <f t="shared" si="26"/>
        <v>349.68226317450467</v>
      </c>
      <c r="D314">
        <f t="shared" si="27"/>
        <v>35.867736825495349</v>
      </c>
      <c r="E314">
        <f t="shared" si="28"/>
        <v>385.55</v>
      </c>
      <c r="F314">
        <f t="shared" si="29"/>
        <v>18363.919558823069</v>
      </c>
    </row>
    <row r="315" spans="1:6" x14ac:dyDescent="0.3">
      <c r="A315">
        <f t="shared" si="24"/>
        <v>49</v>
      </c>
      <c r="B315" s="2">
        <f t="shared" si="25"/>
        <v>55640</v>
      </c>
      <c r="C315">
        <f t="shared" si="26"/>
        <v>350.35248751225578</v>
      </c>
      <c r="D315">
        <f t="shared" si="27"/>
        <v>35.197512487744213</v>
      </c>
      <c r="E315">
        <f t="shared" si="28"/>
        <v>385.55</v>
      </c>
      <c r="F315">
        <f t="shared" si="29"/>
        <v>18013.567071310812</v>
      </c>
    </row>
    <row r="316" spans="1:6" x14ac:dyDescent="0.3">
      <c r="A316">
        <f t="shared" si="24"/>
        <v>48</v>
      </c>
      <c r="B316" s="2">
        <f t="shared" si="25"/>
        <v>55671</v>
      </c>
      <c r="C316">
        <f t="shared" si="26"/>
        <v>351.02399644665428</v>
      </c>
      <c r="D316">
        <f t="shared" si="27"/>
        <v>34.526003553345724</v>
      </c>
      <c r="E316">
        <f t="shared" si="28"/>
        <v>385.55</v>
      </c>
      <c r="F316">
        <f t="shared" si="29"/>
        <v>17662.543074864159</v>
      </c>
    </row>
    <row r="317" spans="1:6" x14ac:dyDescent="0.3">
      <c r="A317">
        <f t="shared" si="24"/>
        <v>47</v>
      </c>
      <c r="B317" s="2">
        <f t="shared" si="25"/>
        <v>55701</v>
      </c>
      <c r="C317">
        <f t="shared" si="26"/>
        <v>351.6967924398437</v>
      </c>
      <c r="D317">
        <f t="shared" si="27"/>
        <v>33.853207560156306</v>
      </c>
      <c r="E317">
        <f t="shared" si="28"/>
        <v>385.55</v>
      </c>
      <c r="F317">
        <f t="shared" si="29"/>
        <v>17310.846282424314</v>
      </c>
    </row>
    <row r="318" spans="1:6" x14ac:dyDescent="0.3">
      <c r="A318">
        <f t="shared" si="24"/>
        <v>46</v>
      </c>
      <c r="B318" s="2">
        <f t="shared" si="25"/>
        <v>55732</v>
      </c>
      <c r="C318">
        <f t="shared" si="26"/>
        <v>352.37087795868672</v>
      </c>
      <c r="D318">
        <f t="shared" si="27"/>
        <v>33.179122041313271</v>
      </c>
      <c r="E318">
        <f t="shared" si="28"/>
        <v>385.55</v>
      </c>
      <c r="F318">
        <f t="shared" si="29"/>
        <v>16958.475404465629</v>
      </c>
    </row>
    <row r="319" spans="1:6" x14ac:dyDescent="0.3">
      <c r="A319">
        <f t="shared" si="24"/>
        <v>45</v>
      </c>
      <c r="B319" s="2">
        <f t="shared" si="25"/>
        <v>55763</v>
      </c>
      <c r="C319">
        <f t="shared" si="26"/>
        <v>353.04625547477423</v>
      </c>
      <c r="D319">
        <f t="shared" si="27"/>
        <v>32.503744525225791</v>
      </c>
      <c r="E319">
        <f t="shared" si="28"/>
        <v>385.55</v>
      </c>
      <c r="F319">
        <f t="shared" si="29"/>
        <v>16605.429148990854</v>
      </c>
    </row>
    <row r="320" spans="1:6" x14ac:dyDescent="0.3">
      <c r="A320">
        <f t="shared" si="24"/>
        <v>44</v>
      </c>
      <c r="B320" s="2">
        <f t="shared" si="25"/>
        <v>55793</v>
      </c>
      <c r="C320">
        <f t="shared" si="26"/>
        <v>353.72292746443418</v>
      </c>
      <c r="D320">
        <f t="shared" si="27"/>
        <v>31.827072535565804</v>
      </c>
      <c r="E320">
        <f t="shared" si="28"/>
        <v>385.55</v>
      </c>
      <c r="F320">
        <f t="shared" si="29"/>
        <v>16251.70622152642</v>
      </c>
    </row>
    <row r="321" spans="1:6" x14ac:dyDescent="0.3">
      <c r="A321">
        <f t="shared" si="24"/>
        <v>43</v>
      </c>
      <c r="B321" s="2">
        <f t="shared" si="25"/>
        <v>55824</v>
      </c>
      <c r="C321">
        <f t="shared" si="26"/>
        <v>354.40089640874106</v>
      </c>
      <c r="D321">
        <f t="shared" si="27"/>
        <v>31.149103591258967</v>
      </c>
      <c r="E321">
        <f t="shared" si="28"/>
        <v>385.55</v>
      </c>
      <c r="F321">
        <f t="shared" si="29"/>
        <v>15897.305325117679</v>
      </c>
    </row>
    <row r="322" spans="1:6" x14ac:dyDescent="0.3">
      <c r="A322">
        <f t="shared" si="24"/>
        <v>42</v>
      </c>
      <c r="B322" s="2">
        <f t="shared" si="25"/>
        <v>55854</v>
      </c>
      <c r="C322">
        <f t="shared" si="26"/>
        <v>355.08016479352443</v>
      </c>
      <c r="D322">
        <f t="shared" si="27"/>
        <v>30.469835206475551</v>
      </c>
      <c r="E322">
        <f t="shared" si="28"/>
        <v>385.55</v>
      </c>
      <c r="F322">
        <f t="shared" si="29"/>
        <v>15542.225160324155</v>
      </c>
    </row>
    <row r="323" spans="1:6" x14ac:dyDescent="0.3">
      <c r="A323">
        <f t="shared" si="24"/>
        <v>41</v>
      </c>
      <c r="B323" s="2">
        <f t="shared" si="25"/>
        <v>55885</v>
      </c>
      <c r="C323">
        <f t="shared" si="26"/>
        <v>355.76073510937874</v>
      </c>
      <c r="D323">
        <f t="shared" si="27"/>
        <v>29.789264890621297</v>
      </c>
      <c r="E323">
        <f t="shared" si="28"/>
        <v>385.55</v>
      </c>
      <c r="F323">
        <f t="shared" si="29"/>
        <v>15186.464425214775</v>
      </c>
    </row>
    <row r="324" spans="1:6" x14ac:dyDescent="0.3">
      <c r="A324">
        <f t="shared" si="24"/>
        <v>40</v>
      </c>
      <c r="B324" s="2">
        <f t="shared" si="25"/>
        <v>55916</v>
      </c>
      <c r="C324">
        <f t="shared" si="26"/>
        <v>356.4426098516717</v>
      </c>
      <c r="D324">
        <f t="shared" si="27"/>
        <v>29.107390148328321</v>
      </c>
      <c r="E324">
        <f t="shared" si="28"/>
        <v>385.55</v>
      </c>
      <c r="F324">
        <f t="shared" si="29"/>
        <v>14830.021815363103</v>
      </c>
    </row>
    <row r="325" spans="1:6" x14ac:dyDescent="0.3">
      <c r="A325">
        <f t="shared" si="24"/>
        <v>39</v>
      </c>
      <c r="B325" s="2">
        <f t="shared" si="25"/>
        <v>55944</v>
      </c>
      <c r="C325">
        <f t="shared" si="26"/>
        <v>357.12579152055406</v>
      </c>
      <c r="D325">
        <f t="shared" si="27"/>
        <v>28.424208479445948</v>
      </c>
      <c r="E325">
        <f t="shared" si="28"/>
        <v>385.55</v>
      </c>
      <c r="F325">
        <f t="shared" si="29"/>
        <v>14472.89602384255</v>
      </c>
    </row>
    <row r="326" spans="1:6" x14ac:dyDescent="0.3">
      <c r="A326">
        <f t="shared" si="24"/>
        <v>38</v>
      </c>
      <c r="B326" s="2">
        <f t="shared" si="25"/>
        <v>55975</v>
      </c>
      <c r="C326">
        <f t="shared" si="26"/>
        <v>357.81028262096845</v>
      </c>
      <c r="D326">
        <f t="shared" si="27"/>
        <v>27.73971737903155</v>
      </c>
      <c r="E326">
        <f t="shared" si="28"/>
        <v>385.55</v>
      </c>
      <c r="F326">
        <f t="shared" si="29"/>
        <v>14115.085741221581</v>
      </c>
    </row>
    <row r="327" spans="1:6" x14ac:dyDescent="0.3">
      <c r="A327">
        <f t="shared" ref="A327:A364" si="30">A326-1</f>
        <v>37</v>
      </c>
      <c r="B327" s="2">
        <f t="shared" si="25"/>
        <v>56005</v>
      </c>
      <c r="C327">
        <f t="shared" si="26"/>
        <v>358.49608566265863</v>
      </c>
      <c r="D327">
        <f t="shared" si="27"/>
        <v>27.053914337341364</v>
      </c>
      <c r="E327">
        <f t="shared" si="28"/>
        <v>385.55</v>
      </c>
      <c r="F327">
        <f t="shared" si="29"/>
        <v>13756.589655558922</v>
      </c>
    </row>
    <row r="328" spans="1:6" x14ac:dyDescent="0.3">
      <c r="A328">
        <f t="shared" si="30"/>
        <v>36</v>
      </c>
      <c r="B328" s="2">
        <f t="shared" ref="B328:B364" si="31">EDATE(B327,1)</f>
        <v>56036</v>
      </c>
      <c r="C328">
        <f t="shared" ref="C328:C364" si="32">$C$2-D328</f>
        <v>359.18320316017872</v>
      </c>
      <c r="D328">
        <f t="shared" ref="D328:D364" si="33">F327*$B$2/12</f>
        <v>26.366796839821266</v>
      </c>
      <c r="E328">
        <f t="shared" ref="E328:E364" si="34">$C$2</f>
        <v>385.55</v>
      </c>
      <c r="F328">
        <f t="shared" ref="F328:F364" si="35">F327-C328</f>
        <v>13397.406452398744</v>
      </c>
    </row>
    <row r="329" spans="1:6" x14ac:dyDescent="0.3">
      <c r="A329">
        <f t="shared" si="30"/>
        <v>35</v>
      </c>
      <c r="B329" s="2">
        <f t="shared" si="31"/>
        <v>56066</v>
      </c>
      <c r="C329">
        <f t="shared" si="32"/>
        <v>359.87163763290243</v>
      </c>
      <c r="D329">
        <f t="shared" si="33"/>
        <v>25.678362367097591</v>
      </c>
      <c r="E329">
        <f t="shared" si="34"/>
        <v>385.55</v>
      </c>
      <c r="F329">
        <f t="shared" si="35"/>
        <v>13037.534814765841</v>
      </c>
    </row>
    <row r="330" spans="1:6" x14ac:dyDescent="0.3">
      <c r="A330">
        <f t="shared" si="30"/>
        <v>34</v>
      </c>
      <c r="B330" s="2">
        <f t="shared" si="31"/>
        <v>56097</v>
      </c>
      <c r="C330">
        <f t="shared" si="32"/>
        <v>360.56139160503216</v>
      </c>
      <c r="D330">
        <f t="shared" si="33"/>
        <v>24.988608394967859</v>
      </c>
      <c r="E330">
        <f t="shared" si="34"/>
        <v>385.55</v>
      </c>
      <c r="F330">
        <f t="shared" si="35"/>
        <v>12676.973423160809</v>
      </c>
    </row>
    <row r="331" spans="1:6" x14ac:dyDescent="0.3">
      <c r="A331">
        <f t="shared" si="30"/>
        <v>33</v>
      </c>
      <c r="B331" s="2">
        <f t="shared" si="31"/>
        <v>56128</v>
      </c>
      <c r="C331">
        <f t="shared" si="32"/>
        <v>361.25246760560844</v>
      </c>
      <c r="D331">
        <f t="shared" si="33"/>
        <v>24.297532394391549</v>
      </c>
      <c r="E331">
        <f t="shared" si="34"/>
        <v>385.55</v>
      </c>
      <c r="F331">
        <f t="shared" si="35"/>
        <v>12315.7209555552</v>
      </c>
    </row>
    <row r="332" spans="1:6" x14ac:dyDescent="0.3">
      <c r="A332">
        <f t="shared" si="30"/>
        <v>32</v>
      </c>
      <c r="B332" s="2">
        <f t="shared" si="31"/>
        <v>56158</v>
      </c>
      <c r="C332">
        <f t="shared" si="32"/>
        <v>361.94486816851924</v>
      </c>
      <c r="D332">
        <f t="shared" si="33"/>
        <v>23.605131831480801</v>
      </c>
      <c r="E332">
        <f t="shared" si="34"/>
        <v>385.55</v>
      </c>
      <c r="F332">
        <f t="shared" si="35"/>
        <v>11953.776087386681</v>
      </c>
    </row>
    <row r="333" spans="1:6" x14ac:dyDescent="0.3">
      <c r="A333">
        <f t="shared" si="30"/>
        <v>31</v>
      </c>
      <c r="B333" s="2">
        <f t="shared" si="31"/>
        <v>56189</v>
      </c>
      <c r="C333">
        <f t="shared" si="32"/>
        <v>362.63859583250888</v>
      </c>
      <c r="D333">
        <f t="shared" si="33"/>
        <v>22.911404167491138</v>
      </c>
      <c r="E333">
        <f t="shared" si="34"/>
        <v>385.55</v>
      </c>
      <c r="F333">
        <f t="shared" si="35"/>
        <v>11591.137491554173</v>
      </c>
    </row>
    <row r="334" spans="1:6" x14ac:dyDescent="0.3">
      <c r="A334">
        <f t="shared" si="30"/>
        <v>30</v>
      </c>
      <c r="B334" s="2">
        <f t="shared" si="31"/>
        <v>56219</v>
      </c>
      <c r="C334">
        <f t="shared" si="32"/>
        <v>363.33365314118782</v>
      </c>
      <c r="D334">
        <f t="shared" si="33"/>
        <v>22.216346858812162</v>
      </c>
      <c r="E334">
        <f t="shared" si="34"/>
        <v>385.55</v>
      </c>
      <c r="F334">
        <f t="shared" si="35"/>
        <v>11227.803838412985</v>
      </c>
    </row>
    <row r="335" spans="1:6" x14ac:dyDescent="0.3">
      <c r="A335">
        <f t="shared" si="30"/>
        <v>29</v>
      </c>
      <c r="B335" s="2">
        <f t="shared" si="31"/>
        <v>56250</v>
      </c>
      <c r="C335">
        <f t="shared" si="32"/>
        <v>364.03004264304178</v>
      </c>
      <c r="D335">
        <f t="shared" si="33"/>
        <v>21.519957356958219</v>
      </c>
      <c r="E335">
        <f t="shared" si="34"/>
        <v>385.55</v>
      </c>
      <c r="F335">
        <f t="shared" si="35"/>
        <v>10863.773795769943</v>
      </c>
    </row>
    <row r="336" spans="1:6" x14ac:dyDescent="0.3">
      <c r="A336">
        <f t="shared" si="30"/>
        <v>28</v>
      </c>
      <c r="B336" s="2">
        <f t="shared" si="31"/>
        <v>56281</v>
      </c>
      <c r="C336">
        <f t="shared" si="32"/>
        <v>364.72776689144098</v>
      </c>
      <c r="D336">
        <f t="shared" si="33"/>
        <v>20.822233108559058</v>
      </c>
      <c r="E336">
        <f t="shared" si="34"/>
        <v>385.55</v>
      </c>
      <c r="F336">
        <f t="shared" si="35"/>
        <v>10499.046028878502</v>
      </c>
    </row>
    <row r="337" spans="1:6" x14ac:dyDescent="0.3">
      <c r="A337">
        <f t="shared" si="30"/>
        <v>27</v>
      </c>
      <c r="B337" s="2">
        <f t="shared" si="31"/>
        <v>56309</v>
      </c>
      <c r="C337">
        <f t="shared" si="32"/>
        <v>365.42682844464957</v>
      </c>
      <c r="D337">
        <f t="shared" si="33"/>
        <v>20.12317155535046</v>
      </c>
      <c r="E337">
        <f t="shared" si="34"/>
        <v>385.55</v>
      </c>
      <c r="F337">
        <f t="shared" si="35"/>
        <v>10133.619200433852</v>
      </c>
    </row>
    <row r="338" spans="1:6" x14ac:dyDescent="0.3">
      <c r="A338">
        <f t="shared" si="30"/>
        <v>26</v>
      </c>
      <c r="B338" s="2">
        <f t="shared" si="31"/>
        <v>56340</v>
      </c>
      <c r="C338">
        <f t="shared" si="32"/>
        <v>366.12722986583515</v>
      </c>
      <c r="D338">
        <f t="shared" si="33"/>
        <v>19.422770134164882</v>
      </c>
      <c r="E338">
        <f t="shared" si="34"/>
        <v>385.55</v>
      </c>
      <c r="F338">
        <f t="shared" si="35"/>
        <v>9767.4919705680168</v>
      </c>
    </row>
    <row r="339" spans="1:6" x14ac:dyDescent="0.3">
      <c r="A339">
        <f t="shared" si="30"/>
        <v>25</v>
      </c>
      <c r="B339" s="2">
        <f t="shared" si="31"/>
        <v>56370</v>
      </c>
      <c r="C339">
        <f t="shared" si="32"/>
        <v>366.82897372307798</v>
      </c>
      <c r="D339">
        <f t="shared" si="33"/>
        <v>18.721026276922032</v>
      </c>
      <c r="E339">
        <f t="shared" si="34"/>
        <v>385.55</v>
      </c>
      <c r="F339">
        <f t="shared" si="35"/>
        <v>9400.6629968449379</v>
      </c>
    </row>
    <row r="340" spans="1:6" x14ac:dyDescent="0.3">
      <c r="A340">
        <f t="shared" si="30"/>
        <v>24</v>
      </c>
      <c r="B340" s="2">
        <f t="shared" si="31"/>
        <v>56401</v>
      </c>
      <c r="C340">
        <f t="shared" si="32"/>
        <v>367.53206258938053</v>
      </c>
      <c r="D340">
        <f t="shared" si="33"/>
        <v>18.017937410619464</v>
      </c>
      <c r="E340">
        <f t="shared" si="34"/>
        <v>385.55</v>
      </c>
      <c r="F340">
        <f t="shared" si="35"/>
        <v>9033.1309342555578</v>
      </c>
    </row>
    <row r="341" spans="1:6" x14ac:dyDescent="0.3">
      <c r="A341">
        <f t="shared" si="30"/>
        <v>23</v>
      </c>
      <c r="B341" s="2">
        <f t="shared" si="31"/>
        <v>56431</v>
      </c>
      <c r="C341">
        <f t="shared" si="32"/>
        <v>368.23649904267688</v>
      </c>
      <c r="D341">
        <f t="shared" si="33"/>
        <v>17.313500957323154</v>
      </c>
      <c r="E341">
        <f t="shared" si="34"/>
        <v>385.55</v>
      </c>
      <c r="F341">
        <f t="shared" si="35"/>
        <v>8664.8944352128801</v>
      </c>
    </row>
    <row r="342" spans="1:6" x14ac:dyDescent="0.3">
      <c r="A342">
        <f t="shared" si="30"/>
        <v>22</v>
      </c>
      <c r="B342" s="2">
        <f t="shared" si="31"/>
        <v>56462</v>
      </c>
      <c r="C342">
        <f t="shared" si="32"/>
        <v>368.94228566584201</v>
      </c>
      <c r="D342">
        <f t="shared" si="33"/>
        <v>16.607714334158022</v>
      </c>
      <c r="E342">
        <f t="shared" si="34"/>
        <v>385.55</v>
      </c>
      <c r="F342">
        <f t="shared" si="35"/>
        <v>8295.9521495470381</v>
      </c>
    </row>
    <row r="343" spans="1:6" x14ac:dyDescent="0.3">
      <c r="A343">
        <f t="shared" si="30"/>
        <v>21</v>
      </c>
      <c r="B343" s="2">
        <f t="shared" si="31"/>
        <v>56493</v>
      </c>
      <c r="C343">
        <f t="shared" si="32"/>
        <v>369.64942504670154</v>
      </c>
      <c r="D343">
        <f t="shared" si="33"/>
        <v>15.90057495329849</v>
      </c>
      <c r="E343">
        <f t="shared" si="34"/>
        <v>385.55</v>
      </c>
      <c r="F343">
        <f t="shared" si="35"/>
        <v>7926.3027245003368</v>
      </c>
    </row>
    <row r="344" spans="1:6" x14ac:dyDescent="0.3">
      <c r="A344">
        <f t="shared" si="30"/>
        <v>20</v>
      </c>
      <c r="B344" s="2">
        <f t="shared" si="31"/>
        <v>56523</v>
      </c>
      <c r="C344">
        <f t="shared" si="32"/>
        <v>370.35791977804104</v>
      </c>
      <c r="D344">
        <f t="shared" si="33"/>
        <v>15.19208022195898</v>
      </c>
      <c r="E344">
        <f t="shared" si="34"/>
        <v>385.55</v>
      </c>
      <c r="F344">
        <f t="shared" si="35"/>
        <v>7555.9448047222959</v>
      </c>
    </row>
    <row r="345" spans="1:6" x14ac:dyDescent="0.3">
      <c r="A345">
        <f t="shared" si="30"/>
        <v>19</v>
      </c>
      <c r="B345" s="2">
        <f t="shared" si="31"/>
        <v>56554</v>
      </c>
      <c r="C345">
        <f t="shared" si="32"/>
        <v>371.0677724576156</v>
      </c>
      <c r="D345">
        <f t="shared" si="33"/>
        <v>14.4822275423844</v>
      </c>
      <c r="E345">
        <f t="shared" si="34"/>
        <v>385.55</v>
      </c>
      <c r="F345">
        <f t="shared" si="35"/>
        <v>7184.8770322646806</v>
      </c>
    </row>
    <row r="346" spans="1:6" x14ac:dyDescent="0.3">
      <c r="A346">
        <f t="shared" si="30"/>
        <v>18</v>
      </c>
      <c r="B346" s="2">
        <f t="shared" si="31"/>
        <v>56584</v>
      </c>
      <c r="C346">
        <f t="shared" si="32"/>
        <v>371.77898568815937</v>
      </c>
      <c r="D346">
        <f t="shared" si="33"/>
        <v>13.771014311840638</v>
      </c>
      <c r="E346">
        <f t="shared" si="34"/>
        <v>385.55</v>
      </c>
      <c r="F346">
        <f t="shared" si="35"/>
        <v>6813.0980465765215</v>
      </c>
    </row>
    <row r="347" spans="1:6" x14ac:dyDescent="0.3">
      <c r="A347">
        <f t="shared" si="30"/>
        <v>17</v>
      </c>
      <c r="B347" s="2">
        <f t="shared" si="31"/>
        <v>56615</v>
      </c>
      <c r="C347">
        <f t="shared" si="32"/>
        <v>372.49156207739503</v>
      </c>
      <c r="D347">
        <f t="shared" si="33"/>
        <v>13.058437922605</v>
      </c>
      <c r="E347">
        <f t="shared" si="34"/>
        <v>385.55</v>
      </c>
      <c r="F347">
        <f t="shared" si="35"/>
        <v>6440.6064844991261</v>
      </c>
    </row>
    <row r="348" spans="1:6" x14ac:dyDescent="0.3">
      <c r="A348">
        <f t="shared" si="30"/>
        <v>16</v>
      </c>
      <c r="B348" s="2">
        <f t="shared" si="31"/>
        <v>56646</v>
      </c>
      <c r="C348">
        <f t="shared" si="32"/>
        <v>373.20550423804337</v>
      </c>
      <c r="D348">
        <f t="shared" si="33"/>
        <v>12.344495761956658</v>
      </c>
      <c r="E348">
        <f t="shared" si="34"/>
        <v>385.55</v>
      </c>
      <c r="F348">
        <f t="shared" si="35"/>
        <v>6067.4009802610826</v>
      </c>
    </row>
    <row r="349" spans="1:6" x14ac:dyDescent="0.3">
      <c r="A349">
        <f t="shared" si="30"/>
        <v>15</v>
      </c>
      <c r="B349" s="2">
        <f t="shared" si="31"/>
        <v>56674</v>
      </c>
      <c r="C349">
        <f t="shared" si="32"/>
        <v>373.92081478783291</v>
      </c>
      <c r="D349">
        <f t="shared" si="33"/>
        <v>11.629185212167075</v>
      </c>
      <c r="E349">
        <f t="shared" si="34"/>
        <v>385.55</v>
      </c>
      <c r="F349">
        <f t="shared" si="35"/>
        <v>5693.4801654732501</v>
      </c>
    </row>
    <row r="350" spans="1:6" x14ac:dyDescent="0.3">
      <c r="A350">
        <f t="shared" si="30"/>
        <v>14</v>
      </c>
      <c r="B350" s="2">
        <f t="shared" si="31"/>
        <v>56705</v>
      </c>
      <c r="C350">
        <f t="shared" si="32"/>
        <v>374.6374963495096</v>
      </c>
      <c r="D350">
        <f t="shared" si="33"/>
        <v>10.912503650490395</v>
      </c>
      <c r="E350">
        <f t="shared" si="34"/>
        <v>385.55</v>
      </c>
      <c r="F350">
        <f t="shared" si="35"/>
        <v>5318.8426691237401</v>
      </c>
    </row>
    <row r="351" spans="1:6" x14ac:dyDescent="0.3">
      <c r="A351">
        <f t="shared" si="30"/>
        <v>13</v>
      </c>
      <c r="B351" s="2">
        <f t="shared" si="31"/>
        <v>56735</v>
      </c>
      <c r="C351">
        <f t="shared" si="32"/>
        <v>375.3555515508462</v>
      </c>
      <c r="D351">
        <f t="shared" si="33"/>
        <v>10.194448449153835</v>
      </c>
      <c r="E351">
        <f t="shared" si="34"/>
        <v>385.55</v>
      </c>
      <c r="F351">
        <f t="shared" si="35"/>
        <v>4943.487117572894</v>
      </c>
    </row>
    <row r="352" spans="1:6" x14ac:dyDescent="0.3">
      <c r="A352">
        <f t="shared" si="30"/>
        <v>12</v>
      </c>
      <c r="B352" s="2">
        <f t="shared" si="31"/>
        <v>56766</v>
      </c>
      <c r="C352">
        <f t="shared" si="32"/>
        <v>376.07498302465194</v>
      </c>
      <c r="D352">
        <f t="shared" si="33"/>
        <v>9.475016975348046</v>
      </c>
      <c r="E352">
        <f t="shared" si="34"/>
        <v>385.55</v>
      </c>
      <c r="F352">
        <f t="shared" si="35"/>
        <v>4567.4121345482417</v>
      </c>
    </row>
    <row r="353" spans="1:6" x14ac:dyDescent="0.3">
      <c r="A353">
        <f t="shared" si="30"/>
        <v>11</v>
      </c>
      <c r="B353" s="2">
        <f t="shared" si="31"/>
        <v>56796</v>
      </c>
      <c r="C353">
        <f t="shared" si="32"/>
        <v>376.79579340878257</v>
      </c>
      <c r="D353">
        <f t="shared" si="33"/>
        <v>8.7542065912174625</v>
      </c>
      <c r="E353">
        <f t="shared" si="34"/>
        <v>385.55</v>
      </c>
      <c r="F353">
        <f t="shared" si="35"/>
        <v>4190.6163411394591</v>
      </c>
    </row>
    <row r="354" spans="1:6" x14ac:dyDescent="0.3">
      <c r="A354">
        <f t="shared" si="30"/>
        <v>10</v>
      </c>
      <c r="B354" s="2">
        <f t="shared" si="31"/>
        <v>56827</v>
      </c>
      <c r="C354">
        <f t="shared" si="32"/>
        <v>377.51798534614937</v>
      </c>
      <c r="D354">
        <f t="shared" si="33"/>
        <v>8.032014653850629</v>
      </c>
      <c r="E354">
        <f t="shared" si="34"/>
        <v>385.55</v>
      </c>
      <c r="F354">
        <f t="shared" si="35"/>
        <v>3813.0983557933096</v>
      </c>
    </row>
    <row r="355" spans="1:6" x14ac:dyDescent="0.3">
      <c r="A355">
        <f t="shared" si="30"/>
        <v>9</v>
      </c>
      <c r="B355" s="2">
        <f t="shared" si="31"/>
        <v>56858</v>
      </c>
      <c r="C355">
        <f t="shared" si="32"/>
        <v>378.24156148472952</v>
      </c>
      <c r="D355">
        <f t="shared" si="33"/>
        <v>7.3084385152705096</v>
      </c>
      <c r="E355">
        <f t="shared" si="34"/>
        <v>385.55</v>
      </c>
      <c r="F355">
        <f t="shared" si="35"/>
        <v>3434.85679430858</v>
      </c>
    </row>
    <row r="356" spans="1:6" x14ac:dyDescent="0.3">
      <c r="A356">
        <f t="shared" si="30"/>
        <v>8</v>
      </c>
      <c r="B356" s="2">
        <f t="shared" si="31"/>
        <v>56888</v>
      </c>
      <c r="C356">
        <f t="shared" si="32"/>
        <v>378.96652447757521</v>
      </c>
      <c r="D356">
        <f t="shared" si="33"/>
        <v>6.5834755224247781</v>
      </c>
      <c r="E356">
        <f t="shared" si="34"/>
        <v>385.55</v>
      </c>
      <c r="F356">
        <f t="shared" si="35"/>
        <v>3055.8902698310048</v>
      </c>
    </row>
    <row r="357" spans="1:6" x14ac:dyDescent="0.3">
      <c r="A357">
        <f t="shared" si="30"/>
        <v>7</v>
      </c>
      <c r="B357" s="2">
        <f t="shared" si="31"/>
        <v>56919</v>
      </c>
      <c r="C357">
        <f t="shared" si="32"/>
        <v>379.69287698282392</v>
      </c>
      <c r="D357">
        <f t="shared" si="33"/>
        <v>5.8571230171760931</v>
      </c>
      <c r="E357">
        <f t="shared" si="34"/>
        <v>385.55</v>
      </c>
      <c r="F357">
        <f t="shared" si="35"/>
        <v>2676.1973928481812</v>
      </c>
    </row>
    <row r="358" spans="1:6" x14ac:dyDescent="0.3">
      <c r="A358">
        <f t="shared" si="30"/>
        <v>6</v>
      </c>
      <c r="B358" s="2">
        <f t="shared" si="31"/>
        <v>56949</v>
      </c>
      <c r="C358">
        <f t="shared" si="32"/>
        <v>380.42062166370766</v>
      </c>
      <c r="D358">
        <f t="shared" si="33"/>
        <v>5.1293783362923469</v>
      </c>
      <c r="E358">
        <f t="shared" si="34"/>
        <v>385.55</v>
      </c>
      <c r="F358">
        <f t="shared" si="35"/>
        <v>2295.7767711844735</v>
      </c>
    </row>
    <row r="359" spans="1:6" x14ac:dyDescent="0.3">
      <c r="A359">
        <f t="shared" si="30"/>
        <v>5</v>
      </c>
      <c r="B359" s="2">
        <f t="shared" si="31"/>
        <v>56980</v>
      </c>
      <c r="C359">
        <f t="shared" si="32"/>
        <v>381.1497611885631</v>
      </c>
      <c r="D359">
        <f t="shared" si="33"/>
        <v>4.4002388114369078</v>
      </c>
      <c r="E359">
        <f t="shared" si="34"/>
        <v>385.55</v>
      </c>
      <c r="F359">
        <f t="shared" si="35"/>
        <v>1914.6270099959104</v>
      </c>
    </row>
    <row r="360" spans="1:6" x14ac:dyDescent="0.3">
      <c r="A360">
        <f t="shared" si="30"/>
        <v>4</v>
      </c>
      <c r="B360" s="2">
        <f t="shared" si="31"/>
        <v>57011</v>
      </c>
      <c r="C360">
        <f t="shared" si="32"/>
        <v>381.88029823084116</v>
      </c>
      <c r="D360">
        <f t="shared" si="33"/>
        <v>3.6697017691588285</v>
      </c>
      <c r="E360">
        <f t="shared" si="34"/>
        <v>385.55</v>
      </c>
      <c r="F360">
        <f t="shared" si="35"/>
        <v>1532.7467117650692</v>
      </c>
    </row>
    <row r="361" spans="1:6" x14ac:dyDescent="0.3">
      <c r="A361">
        <f t="shared" si="30"/>
        <v>3</v>
      </c>
      <c r="B361" s="2">
        <f t="shared" si="31"/>
        <v>57040</v>
      </c>
      <c r="C361">
        <f t="shared" si="32"/>
        <v>382.61223546911697</v>
      </c>
      <c r="D361">
        <f t="shared" si="33"/>
        <v>2.9377645308830491</v>
      </c>
      <c r="E361">
        <f t="shared" si="34"/>
        <v>385.55</v>
      </c>
      <c r="F361">
        <f t="shared" si="35"/>
        <v>1150.1344762959523</v>
      </c>
    </row>
    <row r="362" spans="1:6" x14ac:dyDescent="0.3">
      <c r="A362">
        <f t="shared" si="30"/>
        <v>2</v>
      </c>
      <c r="B362" s="2">
        <f t="shared" si="31"/>
        <v>57071</v>
      </c>
      <c r="C362">
        <f t="shared" si="32"/>
        <v>383.34557558709946</v>
      </c>
      <c r="D362">
        <f t="shared" si="33"/>
        <v>2.204424412900575</v>
      </c>
      <c r="E362">
        <f t="shared" si="34"/>
        <v>385.55</v>
      </c>
      <c r="F362">
        <f t="shared" si="35"/>
        <v>766.78890070885279</v>
      </c>
    </row>
    <row r="363" spans="1:6" x14ac:dyDescent="0.3">
      <c r="A363">
        <f t="shared" si="30"/>
        <v>1</v>
      </c>
      <c r="B363" s="2">
        <f t="shared" si="31"/>
        <v>57101</v>
      </c>
      <c r="C363">
        <f t="shared" si="32"/>
        <v>384.0803212736414</v>
      </c>
      <c r="D363">
        <f t="shared" si="33"/>
        <v>1.4696787263586346</v>
      </c>
      <c r="E363">
        <f t="shared" si="34"/>
        <v>385.55</v>
      </c>
      <c r="F363">
        <f t="shared" si="35"/>
        <v>382.70857943521139</v>
      </c>
    </row>
    <row r="364" spans="1:6" x14ac:dyDescent="0.3">
      <c r="A364">
        <f t="shared" si="30"/>
        <v>0</v>
      </c>
      <c r="B364" s="2">
        <f t="shared" si="31"/>
        <v>57132</v>
      </c>
      <c r="C364">
        <f t="shared" si="32"/>
        <v>384.8164752227492</v>
      </c>
      <c r="D364">
        <f t="shared" si="33"/>
        <v>0.73352477725082188</v>
      </c>
      <c r="E364">
        <f t="shared" si="34"/>
        <v>385.55</v>
      </c>
      <c r="F364">
        <f t="shared" si="35"/>
        <v>-2.1078957875378137</v>
      </c>
    </row>
    <row r="366" spans="1:6" x14ac:dyDescent="0.3">
      <c r="E366" t="s">
        <v>12</v>
      </c>
    </row>
    <row r="367" spans="1:6" x14ac:dyDescent="0.3">
      <c r="E367">
        <f>SUM(E5:E364)</f>
        <v>138469.16000000047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2C45F-D81C-4D64-93A3-0DB033222D29}">
  <dimension ref="A1:H233"/>
  <sheetViews>
    <sheetView workbookViewId="0">
      <selection activeCell="E233" sqref="E233"/>
    </sheetView>
  </sheetViews>
  <sheetFormatPr defaultRowHeight="14.4" x14ac:dyDescent="0.3"/>
  <cols>
    <col min="1" max="6" width="11.6640625" bestFit="1" customWidth="1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</row>
    <row r="2" spans="1:8" x14ac:dyDescent="0.3">
      <c r="A2">
        <v>100000</v>
      </c>
      <c r="B2">
        <v>2.3E-2</v>
      </c>
      <c r="C2">
        <v>385.55</v>
      </c>
      <c r="D2">
        <v>30</v>
      </c>
      <c r="E2">
        <v>359</v>
      </c>
      <c r="F2">
        <v>3.15E-2</v>
      </c>
    </row>
    <row r="3" spans="1:8" x14ac:dyDescent="0.3">
      <c r="H3" t="s">
        <v>14</v>
      </c>
    </row>
    <row r="4" spans="1:8" x14ac:dyDescent="0.3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H4" t="s">
        <v>13</v>
      </c>
    </row>
    <row r="5" spans="1:8" x14ac:dyDescent="0.3">
      <c r="A5">
        <v>359</v>
      </c>
      <c r="B5" s="2">
        <v>46204</v>
      </c>
      <c r="C5" s="5">
        <v>0</v>
      </c>
      <c r="D5" s="5">
        <v>56.71</v>
      </c>
      <c r="E5" s="5">
        <v>56.71</v>
      </c>
      <c r="F5" s="5">
        <v>100000</v>
      </c>
      <c r="H5">
        <f>E5</f>
        <v>56.71</v>
      </c>
    </row>
    <row r="6" spans="1:8" s="3" customFormat="1" x14ac:dyDescent="0.3">
      <c r="A6" s="3">
        <v>224</v>
      </c>
      <c r="B6" s="4">
        <v>46205</v>
      </c>
      <c r="C6" s="6">
        <v>29839.62</v>
      </c>
      <c r="D6" s="6">
        <v>3.76</v>
      </c>
      <c r="E6" s="6">
        <v>29839.62</v>
      </c>
      <c r="F6" s="6">
        <f>F5-E6</f>
        <v>70160.38</v>
      </c>
      <c r="H6" s="3">
        <f>D6+E6</f>
        <v>29843.379999999997</v>
      </c>
    </row>
    <row r="7" spans="1:8" x14ac:dyDescent="0.3">
      <c r="A7">
        <v>223</v>
      </c>
      <c r="B7" s="2">
        <f>EDATE(B5,1)</f>
        <v>46235</v>
      </c>
      <c r="C7" s="5">
        <f>$C$2-D7</f>
        <v>251.07593833333334</v>
      </c>
      <c r="D7" s="5">
        <f>F6*$B$2/12</f>
        <v>134.47406166666667</v>
      </c>
      <c r="E7" s="5">
        <f>$C$2</f>
        <v>385.55</v>
      </c>
      <c r="F7" s="5">
        <f>F6-C7</f>
        <v>69909.304061666669</v>
      </c>
    </row>
    <row r="8" spans="1:8" x14ac:dyDescent="0.3">
      <c r="A8">
        <f t="shared" ref="A8:A71" si="0">A7-1</f>
        <v>222</v>
      </c>
      <c r="B8" s="2">
        <f>EDATE(B7,1)</f>
        <v>46266</v>
      </c>
      <c r="C8" s="5">
        <f>$C$2-D8</f>
        <v>251.55716721513889</v>
      </c>
      <c r="D8" s="5">
        <f>F7*$B$2/12</f>
        <v>133.99283278486112</v>
      </c>
      <c r="E8" s="5">
        <f>$C$2</f>
        <v>385.55</v>
      </c>
      <c r="F8" s="5">
        <f>F7-C8</f>
        <v>69657.746894451528</v>
      </c>
    </row>
    <row r="9" spans="1:8" x14ac:dyDescent="0.3">
      <c r="A9">
        <f t="shared" si="0"/>
        <v>221</v>
      </c>
      <c r="B9" s="2">
        <f t="shared" ref="B9:B72" si="1">EDATE(B8,1)</f>
        <v>46296</v>
      </c>
      <c r="C9" s="5">
        <f t="shared" ref="C9:C72" si="2">$C$2-D9</f>
        <v>252.03931845230125</v>
      </c>
      <c r="D9" s="5">
        <f t="shared" ref="D9:D72" si="3">F8*$B$2/12</f>
        <v>133.51068154769877</v>
      </c>
      <c r="E9" s="5">
        <f t="shared" ref="E9:E72" si="4">$C$2</f>
        <v>385.55</v>
      </c>
      <c r="F9" s="5">
        <f t="shared" ref="F9:F72" si="5">F8-C9</f>
        <v>69405.707575999229</v>
      </c>
    </row>
    <row r="10" spans="1:8" x14ac:dyDescent="0.3">
      <c r="A10">
        <f t="shared" si="0"/>
        <v>220</v>
      </c>
      <c r="B10" s="2">
        <f t="shared" si="1"/>
        <v>46327</v>
      </c>
      <c r="C10" s="5">
        <f t="shared" si="2"/>
        <v>252.52239381266816</v>
      </c>
      <c r="D10" s="5">
        <f t="shared" si="3"/>
        <v>133.02760618733186</v>
      </c>
      <c r="E10" s="5">
        <f t="shared" si="4"/>
        <v>385.55</v>
      </c>
      <c r="F10" s="5">
        <f t="shared" si="5"/>
        <v>69153.185182186557</v>
      </c>
    </row>
    <row r="11" spans="1:8" x14ac:dyDescent="0.3">
      <c r="A11">
        <f t="shared" si="0"/>
        <v>219</v>
      </c>
      <c r="B11" s="2">
        <f t="shared" si="1"/>
        <v>46357</v>
      </c>
      <c r="C11" s="5">
        <f t="shared" si="2"/>
        <v>253.00639506747578</v>
      </c>
      <c r="D11" s="5">
        <f t="shared" si="3"/>
        <v>132.54360493252423</v>
      </c>
      <c r="E11" s="5">
        <f t="shared" si="4"/>
        <v>385.55</v>
      </c>
      <c r="F11" s="5">
        <f t="shared" si="5"/>
        <v>68900.178787119075</v>
      </c>
    </row>
    <row r="12" spans="1:8" x14ac:dyDescent="0.3">
      <c r="A12">
        <f t="shared" si="0"/>
        <v>218</v>
      </c>
      <c r="B12" s="2">
        <f t="shared" si="1"/>
        <v>46388</v>
      </c>
      <c r="C12" s="5">
        <f t="shared" si="2"/>
        <v>253.49132399135513</v>
      </c>
      <c r="D12" s="5">
        <f t="shared" si="3"/>
        <v>132.05867600864488</v>
      </c>
      <c r="E12" s="5">
        <f t="shared" si="4"/>
        <v>385.55</v>
      </c>
      <c r="F12" s="5">
        <f t="shared" si="5"/>
        <v>68646.687463127717</v>
      </c>
    </row>
    <row r="13" spans="1:8" x14ac:dyDescent="0.3">
      <c r="A13">
        <f t="shared" si="0"/>
        <v>217</v>
      </c>
      <c r="B13" s="2">
        <f t="shared" si="1"/>
        <v>46419</v>
      </c>
      <c r="C13" s="5">
        <f t="shared" si="2"/>
        <v>253.97718236233854</v>
      </c>
      <c r="D13" s="5">
        <f t="shared" si="3"/>
        <v>131.57281763766147</v>
      </c>
      <c r="E13" s="5">
        <f t="shared" si="4"/>
        <v>385.55</v>
      </c>
      <c r="F13" s="5">
        <f t="shared" si="5"/>
        <v>68392.710280765372</v>
      </c>
    </row>
    <row r="14" spans="1:8" x14ac:dyDescent="0.3">
      <c r="A14">
        <f t="shared" si="0"/>
        <v>216</v>
      </c>
      <c r="B14" s="2">
        <f t="shared" si="1"/>
        <v>46447</v>
      </c>
      <c r="C14" s="5">
        <f t="shared" si="2"/>
        <v>254.46397196186638</v>
      </c>
      <c r="D14" s="5">
        <f t="shared" si="3"/>
        <v>131.08602803813363</v>
      </c>
      <c r="E14" s="5">
        <f t="shared" si="4"/>
        <v>385.55</v>
      </c>
      <c r="F14" s="5">
        <f t="shared" si="5"/>
        <v>68138.2463088035</v>
      </c>
    </row>
    <row r="15" spans="1:8" x14ac:dyDescent="0.3">
      <c r="A15">
        <f t="shared" si="0"/>
        <v>215</v>
      </c>
      <c r="B15" s="2">
        <f t="shared" si="1"/>
        <v>46478</v>
      </c>
      <c r="C15" s="5">
        <f t="shared" si="2"/>
        <v>254.95169457479332</v>
      </c>
      <c r="D15" s="5">
        <f t="shared" si="3"/>
        <v>130.59830542520669</v>
      </c>
      <c r="E15" s="5">
        <f t="shared" si="4"/>
        <v>385.55</v>
      </c>
      <c r="F15" s="5">
        <f t="shared" si="5"/>
        <v>67883.294614228711</v>
      </c>
    </row>
    <row r="16" spans="1:8" x14ac:dyDescent="0.3">
      <c r="A16">
        <f t="shared" si="0"/>
        <v>214</v>
      </c>
      <c r="B16" s="2">
        <f t="shared" si="1"/>
        <v>46508</v>
      </c>
      <c r="C16" s="5">
        <f t="shared" si="2"/>
        <v>255.440351989395</v>
      </c>
      <c r="D16" s="5">
        <f t="shared" si="3"/>
        <v>130.10964801060501</v>
      </c>
      <c r="E16" s="5">
        <f t="shared" si="4"/>
        <v>385.55</v>
      </c>
      <c r="F16" s="5">
        <f t="shared" si="5"/>
        <v>67627.854262239314</v>
      </c>
    </row>
    <row r="17" spans="1:6" x14ac:dyDescent="0.3">
      <c r="A17">
        <f t="shared" si="0"/>
        <v>213</v>
      </c>
      <c r="B17" s="2">
        <f t="shared" si="1"/>
        <v>46539</v>
      </c>
      <c r="C17" s="5">
        <f t="shared" si="2"/>
        <v>255.92994599737466</v>
      </c>
      <c r="D17" s="5">
        <f t="shared" si="3"/>
        <v>129.62005400262535</v>
      </c>
      <c r="E17" s="5">
        <f t="shared" si="4"/>
        <v>385.55</v>
      </c>
      <c r="F17" s="5">
        <f t="shared" si="5"/>
        <v>67371.924316241944</v>
      </c>
    </row>
    <row r="18" spans="1:6" x14ac:dyDescent="0.3">
      <c r="A18">
        <f t="shared" si="0"/>
        <v>212</v>
      </c>
      <c r="B18" s="2">
        <f t="shared" si="1"/>
        <v>46569</v>
      </c>
      <c r="C18" s="5">
        <f t="shared" si="2"/>
        <v>256.42047839386964</v>
      </c>
      <c r="D18" s="5">
        <f t="shared" si="3"/>
        <v>129.1295216061304</v>
      </c>
      <c r="E18" s="5">
        <f t="shared" si="4"/>
        <v>385.55</v>
      </c>
      <c r="F18" s="5">
        <f t="shared" si="5"/>
        <v>67115.503837848068</v>
      </c>
    </row>
    <row r="19" spans="1:6" x14ac:dyDescent="0.3">
      <c r="A19">
        <f t="shared" si="0"/>
        <v>211</v>
      </c>
      <c r="B19" s="2">
        <f t="shared" si="1"/>
        <v>46600</v>
      </c>
      <c r="C19" s="5">
        <f t="shared" si="2"/>
        <v>256.91195097745788</v>
      </c>
      <c r="D19" s="5">
        <f t="shared" si="3"/>
        <v>128.63804902254213</v>
      </c>
      <c r="E19" s="5">
        <f t="shared" si="4"/>
        <v>385.55</v>
      </c>
      <c r="F19" s="5">
        <f t="shared" si="5"/>
        <v>66858.591886870607</v>
      </c>
    </row>
    <row r="20" spans="1:6" x14ac:dyDescent="0.3">
      <c r="A20">
        <f t="shared" si="0"/>
        <v>210</v>
      </c>
      <c r="B20" s="2">
        <f t="shared" si="1"/>
        <v>46631</v>
      </c>
      <c r="C20" s="5">
        <f t="shared" si="2"/>
        <v>257.4043655501647</v>
      </c>
      <c r="D20" s="5">
        <f t="shared" si="3"/>
        <v>128.14563444983534</v>
      </c>
      <c r="E20" s="5">
        <f t="shared" si="4"/>
        <v>385.55</v>
      </c>
      <c r="F20" s="5">
        <f t="shared" si="5"/>
        <v>66601.187521320448</v>
      </c>
    </row>
    <row r="21" spans="1:6" x14ac:dyDescent="0.3">
      <c r="A21">
        <f t="shared" si="0"/>
        <v>209</v>
      </c>
      <c r="B21" s="2">
        <f t="shared" si="1"/>
        <v>46661</v>
      </c>
      <c r="C21" s="5">
        <f t="shared" si="2"/>
        <v>257.89772391746914</v>
      </c>
      <c r="D21" s="5">
        <f t="shared" si="3"/>
        <v>127.65227608253086</v>
      </c>
      <c r="E21" s="5">
        <f t="shared" si="4"/>
        <v>385.55</v>
      </c>
      <c r="F21" s="5">
        <f t="shared" si="5"/>
        <v>66343.289797402977</v>
      </c>
    </row>
    <row r="22" spans="1:6" x14ac:dyDescent="0.3">
      <c r="A22">
        <f t="shared" si="0"/>
        <v>208</v>
      </c>
      <c r="B22" s="2">
        <f t="shared" si="1"/>
        <v>46692</v>
      </c>
      <c r="C22" s="5">
        <f t="shared" si="2"/>
        <v>258.39202788831096</v>
      </c>
      <c r="D22" s="5">
        <f t="shared" si="3"/>
        <v>127.15797211168903</v>
      </c>
      <c r="E22" s="5">
        <f t="shared" si="4"/>
        <v>385.55</v>
      </c>
      <c r="F22" s="5">
        <f t="shared" si="5"/>
        <v>66084.89776951466</v>
      </c>
    </row>
    <row r="23" spans="1:6" x14ac:dyDescent="0.3">
      <c r="A23">
        <f t="shared" si="0"/>
        <v>207</v>
      </c>
      <c r="B23" s="2">
        <f t="shared" si="1"/>
        <v>46722</v>
      </c>
      <c r="C23" s="5">
        <f t="shared" si="2"/>
        <v>258.88727927509689</v>
      </c>
      <c r="D23" s="5">
        <f t="shared" si="3"/>
        <v>126.66272072490311</v>
      </c>
      <c r="E23" s="5">
        <f t="shared" si="4"/>
        <v>385.55</v>
      </c>
      <c r="F23" s="5">
        <f t="shared" si="5"/>
        <v>65826.010490239569</v>
      </c>
    </row>
    <row r="24" spans="1:6" x14ac:dyDescent="0.3">
      <c r="A24">
        <f t="shared" si="0"/>
        <v>206</v>
      </c>
      <c r="B24" s="2">
        <f t="shared" si="1"/>
        <v>46753</v>
      </c>
      <c r="C24" s="5">
        <f t="shared" si="2"/>
        <v>259.38347989370749</v>
      </c>
      <c r="D24" s="5">
        <f t="shared" si="3"/>
        <v>126.16652010629251</v>
      </c>
      <c r="E24" s="5">
        <f t="shared" si="4"/>
        <v>385.55</v>
      </c>
      <c r="F24" s="5">
        <f t="shared" si="5"/>
        <v>65566.627010345866</v>
      </c>
    </row>
    <row r="25" spans="1:6" x14ac:dyDescent="0.3">
      <c r="A25">
        <f t="shared" si="0"/>
        <v>205</v>
      </c>
      <c r="B25" s="2">
        <f t="shared" si="1"/>
        <v>46784</v>
      </c>
      <c r="C25" s="5">
        <f t="shared" si="2"/>
        <v>259.88063156350375</v>
      </c>
      <c r="D25" s="5">
        <f t="shared" si="3"/>
        <v>125.66936843649624</v>
      </c>
      <c r="E25" s="5">
        <f t="shared" si="4"/>
        <v>385.55</v>
      </c>
      <c r="F25" s="5">
        <f t="shared" si="5"/>
        <v>65306.746378782365</v>
      </c>
    </row>
    <row r="26" spans="1:6" x14ac:dyDescent="0.3">
      <c r="A26">
        <f t="shared" si="0"/>
        <v>204</v>
      </c>
      <c r="B26" s="2">
        <f t="shared" si="1"/>
        <v>46813</v>
      </c>
      <c r="C26" s="5">
        <f t="shared" si="2"/>
        <v>260.37873610733379</v>
      </c>
      <c r="D26" s="5">
        <f t="shared" si="3"/>
        <v>125.1712638926662</v>
      </c>
      <c r="E26" s="5">
        <f t="shared" si="4"/>
        <v>385.55</v>
      </c>
      <c r="F26" s="5">
        <f t="shared" si="5"/>
        <v>65046.367642675032</v>
      </c>
    </row>
    <row r="27" spans="1:6" x14ac:dyDescent="0.3">
      <c r="A27">
        <f t="shared" si="0"/>
        <v>203</v>
      </c>
      <c r="B27" s="2">
        <f t="shared" si="1"/>
        <v>46844</v>
      </c>
      <c r="C27" s="5">
        <f t="shared" si="2"/>
        <v>260.87779535153953</v>
      </c>
      <c r="D27" s="5">
        <f t="shared" si="3"/>
        <v>124.67220464846048</v>
      </c>
      <c r="E27" s="5">
        <f t="shared" si="4"/>
        <v>385.55</v>
      </c>
      <c r="F27" s="5">
        <f t="shared" si="5"/>
        <v>64785.489847323493</v>
      </c>
    </row>
    <row r="28" spans="1:6" x14ac:dyDescent="0.3">
      <c r="A28">
        <f t="shared" si="0"/>
        <v>202</v>
      </c>
      <c r="B28" s="2">
        <f t="shared" si="1"/>
        <v>46874</v>
      </c>
      <c r="C28" s="5">
        <f t="shared" si="2"/>
        <v>261.37781112596332</v>
      </c>
      <c r="D28" s="5">
        <f t="shared" si="3"/>
        <v>124.17218887403669</v>
      </c>
      <c r="E28" s="5">
        <f t="shared" si="4"/>
        <v>385.55</v>
      </c>
      <c r="F28" s="5">
        <f t="shared" si="5"/>
        <v>64524.112036197534</v>
      </c>
    </row>
    <row r="29" spans="1:6" x14ac:dyDescent="0.3">
      <c r="A29">
        <f t="shared" si="0"/>
        <v>201</v>
      </c>
      <c r="B29" s="2">
        <f t="shared" si="1"/>
        <v>46905</v>
      </c>
      <c r="C29" s="5">
        <f t="shared" si="2"/>
        <v>261.87878526395474</v>
      </c>
      <c r="D29" s="5">
        <f t="shared" si="3"/>
        <v>123.67121473604527</v>
      </c>
      <c r="E29" s="5">
        <f t="shared" si="4"/>
        <v>385.55</v>
      </c>
      <c r="F29" s="5">
        <f t="shared" si="5"/>
        <v>64262.233250933576</v>
      </c>
    </row>
    <row r="30" spans="1:6" x14ac:dyDescent="0.3">
      <c r="A30">
        <f t="shared" si="0"/>
        <v>200</v>
      </c>
      <c r="B30" s="2">
        <f t="shared" si="1"/>
        <v>46935</v>
      </c>
      <c r="C30" s="5">
        <f t="shared" si="2"/>
        <v>262.38071960237733</v>
      </c>
      <c r="D30" s="5">
        <f t="shared" si="3"/>
        <v>123.16928039762269</v>
      </c>
      <c r="E30" s="5">
        <f t="shared" si="4"/>
        <v>385.55</v>
      </c>
      <c r="F30" s="5">
        <f t="shared" si="5"/>
        <v>63999.852531331198</v>
      </c>
    </row>
    <row r="31" spans="1:6" x14ac:dyDescent="0.3">
      <c r="A31">
        <f t="shared" si="0"/>
        <v>199</v>
      </c>
      <c r="B31" s="2">
        <f t="shared" si="1"/>
        <v>46966</v>
      </c>
      <c r="C31" s="5">
        <f t="shared" si="2"/>
        <v>262.88361598161521</v>
      </c>
      <c r="D31" s="5">
        <f t="shared" si="3"/>
        <v>122.6663840183848</v>
      </c>
      <c r="E31" s="5">
        <f t="shared" si="4"/>
        <v>385.55</v>
      </c>
      <c r="F31" s="5">
        <f t="shared" si="5"/>
        <v>63736.968915349586</v>
      </c>
    </row>
    <row r="32" spans="1:6" x14ac:dyDescent="0.3">
      <c r="A32">
        <f t="shared" si="0"/>
        <v>198</v>
      </c>
      <c r="B32" s="2">
        <f t="shared" si="1"/>
        <v>46997</v>
      </c>
      <c r="C32" s="5">
        <f t="shared" si="2"/>
        <v>263.38747624557999</v>
      </c>
      <c r="D32" s="5">
        <f t="shared" si="3"/>
        <v>122.16252375442004</v>
      </c>
      <c r="E32" s="5">
        <f t="shared" si="4"/>
        <v>385.55</v>
      </c>
      <c r="F32" s="5">
        <f t="shared" si="5"/>
        <v>63473.581439104004</v>
      </c>
    </row>
    <row r="33" spans="1:6" x14ac:dyDescent="0.3">
      <c r="A33">
        <f t="shared" si="0"/>
        <v>197</v>
      </c>
      <c r="B33" s="2">
        <f t="shared" si="1"/>
        <v>47027</v>
      </c>
      <c r="C33" s="5">
        <f t="shared" si="2"/>
        <v>263.89230224171735</v>
      </c>
      <c r="D33" s="5">
        <f t="shared" si="3"/>
        <v>121.65769775828267</v>
      </c>
      <c r="E33" s="5">
        <f t="shared" si="4"/>
        <v>385.55</v>
      </c>
      <c r="F33" s="5">
        <f t="shared" si="5"/>
        <v>63209.689136862289</v>
      </c>
    </row>
    <row r="34" spans="1:6" x14ac:dyDescent="0.3">
      <c r="A34">
        <f t="shared" si="0"/>
        <v>196</v>
      </c>
      <c r="B34" s="2">
        <f t="shared" si="1"/>
        <v>47058</v>
      </c>
      <c r="C34" s="5">
        <f t="shared" si="2"/>
        <v>264.39809582101395</v>
      </c>
      <c r="D34" s="5">
        <f t="shared" si="3"/>
        <v>121.15190417898606</v>
      </c>
      <c r="E34" s="5">
        <f t="shared" si="4"/>
        <v>385.55</v>
      </c>
      <c r="F34" s="5">
        <f t="shared" si="5"/>
        <v>62945.291041041273</v>
      </c>
    </row>
    <row r="35" spans="1:6" x14ac:dyDescent="0.3">
      <c r="A35">
        <f t="shared" si="0"/>
        <v>195</v>
      </c>
      <c r="B35" s="2">
        <f t="shared" si="1"/>
        <v>47088</v>
      </c>
      <c r="C35" s="5">
        <f t="shared" si="2"/>
        <v>264.90485883800426</v>
      </c>
      <c r="D35" s="5">
        <f t="shared" si="3"/>
        <v>120.64514116199577</v>
      </c>
      <c r="E35" s="5">
        <f t="shared" si="4"/>
        <v>385.55</v>
      </c>
      <c r="F35" s="5">
        <f t="shared" si="5"/>
        <v>62680.38618220327</v>
      </c>
    </row>
    <row r="36" spans="1:6" x14ac:dyDescent="0.3">
      <c r="A36">
        <f t="shared" si="0"/>
        <v>194</v>
      </c>
      <c r="B36" s="2">
        <f t="shared" si="1"/>
        <v>47119</v>
      </c>
      <c r="C36" s="5">
        <f t="shared" si="2"/>
        <v>265.41259315077707</v>
      </c>
      <c r="D36" s="5">
        <f t="shared" si="3"/>
        <v>120.13740684922294</v>
      </c>
      <c r="E36" s="5">
        <f t="shared" si="4"/>
        <v>385.55</v>
      </c>
      <c r="F36" s="5">
        <f t="shared" si="5"/>
        <v>62414.97358905249</v>
      </c>
    </row>
    <row r="37" spans="1:6" x14ac:dyDescent="0.3">
      <c r="A37">
        <f t="shared" si="0"/>
        <v>193</v>
      </c>
      <c r="B37" s="2">
        <f t="shared" si="1"/>
        <v>47150</v>
      </c>
      <c r="C37" s="5">
        <f t="shared" si="2"/>
        <v>265.92130062098272</v>
      </c>
      <c r="D37" s="5">
        <f t="shared" si="3"/>
        <v>119.62869937901728</v>
      </c>
      <c r="E37" s="5">
        <f t="shared" si="4"/>
        <v>385.55</v>
      </c>
      <c r="F37" s="5">
        <f t="shared" si="5"/>
        <v>62149.052288431507</v>
      </c>
    </row>
    <row r="38" spans="1:6" x14ac:dyDescent="0.3">
      <c r="A38">
        <f t="shared" si="0"/>
        <v>192</v>
      </c>
      <c r="B38" s="2">
        <f t="shared" si="1"/>
        <v>47178</v>
      </c>
      <c r="C38" s="5">
        <f t="shared" si="2"/>
        <v>266.4309831138396</v>
      </c>
      <c r="D38" s="5">
        <f t="shared" si="3"/>
        <v>119.1190168861604</v>
      </c>
      <c r="E38" s="5">
        <f t="shared" si="4"/>
        <v>385.55</v>
      </c>
      <c r="F38" s="5">
        <f t="shared" si="5"/>
        <v>61882.621305317669</v>
      </c>
    </row>
    <row r="39" spans="1:6" x14ac:dyDescent="0.3">
      <c r="A39">
        <f t="shared" si="0"/>
        <v>191</v>
      </c>
      <c r="B39" s="2">
        <f t="shared" si="1"/>
        <v>47209</v>
      </c>
      <c r="C39" s="5">
        <f t="shared" si="2"/>
        <v>266.94164249814116</v>
      </c>
      <c r="D39" s="5">
        <f t="shared" si="3"/>
        <v>118.60835750185886</v>
      </c>
      <c r="E39" s="5">
        <f t="shared" si="4"/>
        <v>385.55</v>
      </c>
      <c r="F39" s="5">
        <f t="shared" si="5"/>
        <v>61615.67966281953</v>
      </c>
    </row>
    <row r="40" spans="1:6" x14ac:dyDescent="0.3">
      <c r="A40">
        <f t="shared" si="0"/>
        <v>190</v>
      </c>
      <c r="B40" s="2">
        <f t="shared" si="1"/>
        <v>47239</v>
      </c>
      <c r="C40" s="5">
        <f t="shared" si="2"/>
        <v>267.45328064626256</v>
      </c>
      <c r="D40" s="5">
        <f t="shared" si="3"/>
        <v>118.09671935373744</v>
      </c>
      <c r="E40" s="5">
        <f t="shared" si="4"/>
        <v>385.55</v>
      </c>
      <c r="F40" s="5">
        <f t="shared" si="5"/>
        <v>61348.22638217327</v>
      </c>
    </row>
    <row r="41" spans="1:6" x14ac:dyDescent="0.3">
      <c r="A41">
        <f t="shared" si="0"/>
        <v>189</v>
      </c>
      <c r="B41" s="2">
        <f t="shared" si="1"/>
        <v>47270</v>
      </c>
      <c r="C41" s="5">
        <f t="shared" si="2"/>
        <v>267.96589943416791</v>
      </c>
      <c r="D41" s="5">
        <f t="shared" si="3"/>
        <v>117.5841005658321</v>
      </c>
      <c r="E41" s="5">
        <f t="shared" si="4"/>
        <v>385.55</v>
      </c>
      <c r="F41" s="5">
        <f t="shared" si="5"/>
        <v>61080.260482739104</v>
      </c>
    </row>
    <row r="42" spans="1:6" x14ac:dyDescent="0.3">
      <c r="A42">
        <f t="shared" si="0"/>
        <v>188</v>
      </c>
      <c r="B42" s="2">
        <f t="shared" si="1"/>
        <v>47300</v>
      </c>
      <c r="C42" s="5">
        <f t="shared" si="2"/>
        <v>268.47950074141676</v>
      </c>
      <c r="D42" s="5">
        <f t="shared" si="3"/>
        <v>117.07049925858327</v>
      </c>
      <c r="E42" s="5">
        <f t="shared" si="4"/>
        <v>385.55</v>
      </c>
      <c r="F42" s="5">
        <f t="shared" si="5"/>
        <v>60811.78098199769</v>
      </c>
    </row>
    <row r="43" spans="1:6" x14ac:dyDescent="0.3">
      <c r="A43">
        <f t="shared" si="0"/>
        <v>187</v>
      </c>
      <c r="B43" s="2">
        <f t="shared" si="1"/>
        <v>47331</v>
      </c>
      <c r="C43" s="5">
        <f t="shared" si="2"/>
        <v>268.99408645117109</v>
      </c>
      <c r="D43" s="5">
        <f t="shared" si="3"/>
        <v>116.55591354882891</v>
      </c>
      <c r="E43" s="5">
        <f t="shared" si="4"/>
        <v>385.55</v>
      </c>
      <c r="F43" s="5">
        <f t="shared" si="5"/>
        <v>60542.786895546516</v>
      </c>
    </row>
    <row r="44" spans="1:6" x14ac:dyDescent="0.3">
      <c r="A44">
        <f t="shared" si="0"/>
        <v>186</v>
      </c>
      <c r="B44" s="2">
        <f t="shared" si="1"/>
        <v>47362</v>
      </c>
      <c r="C44" s="5">
        <f t="shared" si="2"/>
        <v>269.50965845020255</v>
      </c>
      <c r="D44" s="5">
        <f t="shared" si="3"/>
        <v>116.04034154979747</v>
      </c>
      <c r="E44" s="5">
        <f t="shared" si="4"/>
        <v>385.55</v>
      </c>
      <c r="F44" s="5">
        <f t="shared" si="5"/>
        <v>60273.277237096314</v>
      </c>
    </row>
    <row r="45" spans="1:6" x14ac:dyDescent="0.3">
      <c r="A45">
        <f t="shared" si="0"/>
        <v>185</v>
      </c>
      <c r="B45" s="2">
        <f t="shared" si="1"/>
        <v>47392</v>
      </c>
      <c r="C45" s="5">
        <f t="shared" si="2"/>
        <v>270.02621862889873</v>
      </c>
      <c r="D45" s="5">
        <f t="shared" si="3"/>
        <v>115.52378137110126</v>
      </c>
      <c r="E45" s="5">
        <f t="shared" si="4"/>
        <v>385.55</v>
      </c>
      <c r="F45" s="5">
        <f t="shared" si="5"/>
        <v>60003.251018467417</v>
      </c>
    </row>
    <row r="46" spans="1:6" x14ac:dyDescent="0.3">
      <c r="A46">
        <f t="shared" si="0"/>
        <v>184</v>
      </c>
      <c r="B46" s="2">
        <f t="shared" si="1"/>
        <v>47423</v>
      </c>
      <c r="C46" s="5">
        <f t="shared" si="2"/>
        <v>270.54376888127081</v>
      </c>
      <c r="D46" s="5">
        <f t="shared" si="3"/>
        <v>115.00623111872922</v>
      </c>
      <c r="E46" s="5">
        <f t="shared" si="4"/>
        <v>385.55</v>
      </c>
      <c r="F46" s="5">
        <f t="shared" si="5"/>
        <v>59732.70724958615</v>
      </c>
    </row>
    <row r="47" spans="1:6" x14ac:dyDescent="0.3">
      <c r="A47">
        <f t="shared" si="0"/>
        <v>183</v>
      </c>
      <c r="B47" s="2">
        <f t="shared" si="1"/>
        <v>47453</v>
      </c>
      <c r="C47" s="5">
        <f t="shared" si="2"/>
        <v>271.06231110495992</v>
      </c>
      <c r="D47" s="5">
        <f t="shared" si="3"/>
        <v>114.48768889504011</v>
      </c>
      <c r="E47" s="5">
        <f t="shared" si="4"/>
        <v>385.55</v>
      </c>
      <c r="F47" s="5">
        <f t="shared" si="5"/>
        <v>59461.644938481193</v>
      </c>
    </row>
    <row r="48" spans="1:6" x14ac:dyDescent="0.3">
      <c r="A48">
        <f t="shared" si="0"/>
        <v>182</v>
      </c>
      <c r="B48" s="2">
        <f t="shared" si="1"/>
        <v>47484</v>
      </c>
      <c r="C48" s="5">
        <f t="shared" si="2"/>
        <v>271.58184720124439</v>
      </c>
      <c r="D48" s="5">
        <f t="shared" si="3"/>
        <v>113.96815279875563</v>
      </c>
      <c r="E48" s="5">
        <f t="shared" si="4"/>
        <v>385.55</v>
      </c>
      <c r="F48" s="5">
        <f t="shared" si="5"/>
        <v>59190.063091279946</v>
      </c>
    </row>
    <row r="49" spans="1:6" x14ac:dyDescent="0.3">
      <c r="A49">
        <f t="shared" si="0"/>
        <v>181</v>
      </c>
      <c r="B49" s="2">
        <f t="shared" si="1"/>
        <v>47515</v>
      </c>
      <c r="C49" s="5">
        <f t="shared" si="2"/>
        <v>272.10237907504677</v>
      </c>
      <c r="D49" s="5">
        <f t="shared" si="3"/>
        <v>113.44762092495323</v>
      </c>
      <c r="E49" s="5">
        <f t="shared" si="4"/>
        <v>385.55</v>
      </c>
      <c r="F49" s="5">
        <f t="shared" si="5"/>
        <v>58917.960712204898</v>
      </c>
    </row>
    <row r="50" spans="1:6" x14ac:dyDescent="0.3">
      <c r="A50">
        <f t="shared" si="0"/>
        <v>180</v>
      </c>
      <c r="B50" s="2">
        <f t="shared" si="1"/>
        <v>47543</v>
      </c>
      <c r="C50" s="5">
        <f t="shared" si="2"/>
        <v>272.62390863494062</v>
      </c>
      <c r="D50" s="5">
        <f t="shared" si="3"/>
        <v>112.92609136505939</v>
      </c>
      <c r="E50" s="5">
        <f t="shared" si="4"/>
        <v>385.55</v>
      </c>
      <c r="F50" s="5">
        <f t="shared" si="5"/>
        <v>58645.33680356996</v>
      </c>
    </row>
    <row r="51" spans="1:6" x14ac:dyDescent="0.3">
      <c r="A51">
        <f t="shared" si="0"/>
        <v>179</v>
      </c>
      <c r="B51" s="2">
        <f t="shared" si="1"/>
        <v>47574</v>
      </c>
      <c r="C51" s="5">
        <f t="shared" si="2"/>
        <v>273.14643779315759</v>
      </c>
      <c r="D51" s="5">
        <f t="shared" si="3"/>
        <v>112.40356220684242</v>
      </c>
      <c r="E51" s="5">
        <f t="shared" si="4"/>
        <v>385.55</v>
      </c>
      <c r="F51" s="5">
        <f t="shared" si="5"/>
        <v>58372.190365776805</v>
      </c>
    </row>
    <row r="52" spans="1:6" x14ac:dyDescent="0.3">
      <c r="A52">
        <f t="shared" si="0"/>
        <v>178</v>
      </c>
      <c r="B52" s="2">
        <f t="shared" si="1"/>
        <v>47604</v>
      </c>
      <c r="C52" s="5">
        <f t="shared" si="2"/>
        <v>273.66996846559448</v>
      </c>
      <c r="D52" s="5">
        <f t="shared" si="3"/>
        <v>111.88003153440555</v>
      </c>
      <c r="E52" s="5">
        <f t="shared" si="4"/>
        <v>385.55</v>
      </c>
      <c r="F52" s="5">
        <f t="shared" si="5"/>
        <v>58098.520397311207</v>
      </c>
    </row>
    <row r="53" spans="1:6" x14ac:dyDescent="0.3">
      <c r="A53">
        <f t="shared" si="0"/>
        <v>177</v>
      </c>
      <c r="B53" s="2">
        <f t="shared" si="1"/>
        <v>47635</v>
      </c>
      <c r="C53" s="5">
        <f t="shared" si="2"/>
        <v>274.19450257182018</v>
      </c>
      <c r="D53" s="5">
        <f t="shared" si="3"/>
        <v>111.35549742817982</v>
      </c>
      <c r="E53" s="5">
        <f t="shared" si="4"/>
        <v>385.55</v>
      </c>
      <c r="F53" s="5">
        <f t="shared" si="5"/>
        <v>57824.325894739384</v>
      </c>
    </row>
    <row r="54" spans="1:6" x14ac:dyDescent="0.3">
      <c r="A54">
        <f t="shared" si="0"/>
        <v>176</v>
      </c>
      <c r="B54" s="2">
        <f t="shared" si="1"/>
        <v>47665</v>
      </c>
      <c r="C54" s="5">
        <f t="shared" si="2"/>
        <v>274.72004203508288</v>
      </c>
      <c r="D54" s="5">
        <f t="shared" si="3"/>
        <v>110.82995796491714</v>
      </c>
      <c r="E54" s="5">
        <f t="shared" si="4"/>
        <v>385.55</v>
      </c>
      <c r="F54" s="5">
        <f t="shared" si="5"/>
        <v>57549.605852704299</v>
      </c>
    </row>
    <row r="55" spans="1:6" x14ac:dyDescent="0.3">
      <c r="A55">
        <f t="shared" si="0"/>
        <v>175</v>
      </c>
      <c r="B55" s="2">
        <f t="shared" si="1"/>
        <v>47696</v>
      </c>
      <c r="C55" s="5">
        <f t="shared" si="2"/>
        <v>275.24658878231679</v>
      </c>
      <c r="D55" s="5">
        <f t="shared" si="3"/>
        <v>110.30341121768323</v>
      </c>
      <c r="E55" s="5">
        <f t="shared" si="4"/>
        <v>385.55</v>
      </c>
      <c r="F55" s="5">
        <f t="shared" si="5"/>
        <v>57274.359263921979</v>
      </c>
    </row>
    <row r="56" spans="1:6" x14ac:dyDescent="0.3">
      <c r="A56">
        <f t="shared" si="0"/>
        <v>174</v>
      </c>
      <c r="B56" s="2">
        <f t="shared" si="1"/>
        <v>47727</v>
      </c>
      <c r="C56" s="5">
        <f t="shared" si="2"/>
        <v>275.77414474414957</v>
      </c>
      <c r="D56" s="5">
        <f t="shared" si="3"/>
        <v>109.77585525585046</v>
      </c>
      <c r="E56" s="5">
        <f t="shared" si="4"/>
        <v>385.55</v>
      </c>
      <c r="F56" s="5">
        <f t="shared" si="5"/>
        <v>56998.585119177827</v>
      </c>
    </row>
    <row r="57" spans="1:6" x14ac:dyDescent="0.3">
      <c r="A57">
        <f t="shared" si="0"/>
        <v>173</v>
      </c>
      <c r="B57" s="2">
        <f t="shared" si="1"/>
        <v>47757</v>
      </c>
      <c r="C57" s="5">
        <f t="shared" si="2"/>
        <v>276.30271185490921</v>
      </c>
      <c r="D57" s="5">
        <f t="shared" si="3"/>
        <v>109.24728814509082</v>
      </c>
      <c r="E57" s="5">
        <f t="shared" si="4"/>
        <v>385.55</v>
      </c>
      <c r="F57" s="5">
        <f t="shared" si="5"/>
        <v>56722.28240732292</v>
      </c>
    </row>
    <row r="58" spans="1:6" x14ac:dyDescent="0.3">
      <c r="A58">
        <f t="shared" si="0"/>
        <v>172</v>
      </c>
      <c r="B58" s="2">
        <f t="shared" si="1"/>
        <v>47788</v>
      </c>
      <c r="C58" s="5">
        <f t="shared" si="2"/>
        <v>276.83229205263109</v>
      </c>
      <c r="D58" s="5">
        <f t="shared" si="3"/>
        <v>108.71770794736892</v>
      </c>
      <c r="E58" s="5">
        <f t="shared" si="4"/>
        <v>385.55</v>
      </c>
      <c r="F58" s="5">
        <f t="shared" si="5"/>
        <v>56445.450115270287</v>
      </c>
    </row>
    <row r="59" spans="1:6" x14ac:dyDescent="0.3">
      <c r="A59">
        <f t="shared" si="0"/>
        <v>171</v>
      </c>
      <c r="B59" s="2">
        <f t="shared" si="1"/>
        <v>47818</v>
      </c>
      <c r="C59" s="5">
        <f t="shared" si="2"/>
        <v>277.36288727906532</v>
      </c>
      <c r="D59" s="5">
        <f t="shared" si="3"/>
        <v>108.18711272093471</v>
      </c>
      <c r="E59" s="5">
        <f t="shared" si="4"/>
        <v>385.55</v>
      </c>
      <c r="F59" s="5">
        <f t="shared" si="5"/>
        <v>56168.087227991222</v>
      </c>
    </row>
    <row r="60" spans="1:6" x14ac:dyDescent="0.3">
      <c r="A60">
        <f t="shared" si="0"/>
        <v>170</v>
      </c>
      <c r="B60" s="2">
        <f t="shared" si="1"/>
        <v>47849</v>
      </c>
      <c r="C60" s="5">
        <f t="shared" si="2"/>
        <v>277.89449947968353</v>
      </c>
      <c r="D60" s="5">
        <f t="shared" si="3"/>
        <v>107.65550052031649</v>
      </c>
      <c r="E60" s="5">
        <f t="shared" si="4"/>
        <v>385.55</v>
      </c>
      <c r="F60" s="5">
        <f t="shared" si="5"/>
        <v>55890.192728511538</v>
      </c>
    </row>
    <row r="61" spans="1:6" x14ac:dyDescent="0.3">
      <c r="A61">
        <f t="shared" si="0"/>
        <v>169</v>
      </c>
      <c r="B61" s="2">
        <f t="shared" si="1"/>
        <v>47880</v>
      </c>
      <c r="C61" s="5">
        <f t="shared" si="2"/>
        <v>278.42713060368624</v>
      </c>
      <c r="D61" s="5">
        <f t="shared" si="3"/>
        <v>107.12286939631377</v>
      </c>
      <c r="E61" s="5">
        <f t="shared" si="4"/>
        <v>385.55</v>
      </c>
      <c r="F61" s="5">
        <f t="shared" si="5"/>
        <v>55611.765597907855</v>
      </c>
    </row>
    <row r="62" spans="1:6" x14ac:dyDescent="0.3">
      <c r="A62">
        <f t="shared" si="0"/>
        <v>168</v>
      </c>
      <c r="B62" s="2">
        <f t="shared" si="1"/>
        <v>47908</v>
      </c>
      <c r="C62" s="5">
        <f t="shared" si="2"/>
        <v>278.96078260400998</v>
      </c>
      <c r="D62" s="5">
        <f t="shared" si="3"/>
        <v>106.58921739599005</v>
      </c>
      <c r="E62" s="5">
        <f t="shared" si="4"/>
        <v>385.55</v>
      </c>
      <c r="F62" s="5">
        <f t="shared" si="5"/>
        <v>55332.804815303847</v>
      </c>
    </row>
    <row r="63" spans="1:6" x14ac:dyDescent="0.3">
      <c r="A63">
        <f t="shared" si="0"/>
        <v>167</v>
      </c>
      <c r="B63" s="2">
        <f t="shared" si="1"/>
        <v>47939</v>
      </c>
      <c r="C63" s="5">
        <f t="shared" si="2"/>
        <v>279.49545743733432</v>
      </c>
      <c r="D63" s="5">
        <f t="shared" si="3"/>
        <v>106.0545425626657</v>
      </c>
      <c r="E63" s="5">
        <f t="shared" si="4"/>
        <v>385.55</v>
      </c>
      <c r="F63" s="5">
        <f t="shared" si="5"/>
        <v>55053.309357866514</v>
      </c>
    </row>
    <row r="64" spans="1:6" x14ac:dyDescent="0.3">
      <c r="A64">
        <f t="shared" si="0"/>
        <v>166</v>
      </c>
      <c r="B64" s="2">
        <f t="shared" si="1"/>
        <v>47969</v>
      </c>
      <c r="C64" s="5">
        <f t="shared" si="2"/>
        <v>280.0311570640892</v>
      </c>
      <c r="D64" s="5">
        <f t="shared" si="3"/>
        <v>105.51884293591081</v>
      </c>
      <c r="E64" s="5">
        <f t="shared" si="4"/>
        <v>385.55</v>
      </c>
      <c r="F64" s="5">
        <f t="shared" si="5"/>
        <v>54773.278200802422</v>
      </c>
    </row>
    <row r="65" spans="1:6" x14ac:dyDescent="0.3">
      <c r="A65">
        <f t="shared" si="0"/>
        <v>165</v>
      </c>
      <c r="B65" s="2">
        <f t="shared" si="1"/>
        <v>48000</v>
      </c>
      <c r="C65" s="5">
        <f t="shared" si="2"/>
        <v>280.56788344846206</v>
      </c>
      <c r="D65" s="5">
        <f t="shared" si="3"/>
        <v>104.98211655153797</v>
      </c>
      <c r="E65" s="5">
        <f t="shared" si="4"/>
        <v>385.55</v>
      </c>
      <c r="F65" s="5">
        <f t="shared" si="5"/>
        <v>54492.710317353958</v>
      </c>
    </row>
    <row r="66" spans="1:6" x14ac:dyDescent="0.3">
      <c r="A66">
        <f t="shared" si="0"/>
        <v>164</v>
      </c>
      <c r="B66" s="2">
        <f t="shared" si="1"/>
        <v>48030</v>
      </c>
      <c r="C66" s="5">
        <f t="shared" si="2"/>
        <v>281.10563855840491</v>
      </c>
      <c r="D66" s="5">
        <f t="shared" si="3"/>
        <v>104.44436144159509</v>
      </c>
      <c r="E66" s="5">
        <f t="shared" si="4"/>
        <v>385.55</v>
      </c>
      <c r="F66" s="5">
        <f t="shared" si="5"/>
        <v>54211.604678795557</v>
      </c>
    </row>
    <row r="67" spans="1:6" x14ac:dyDescent="0.3">
      <c r="A67">
        <f t="shared" si="0"/>
        <v>163</v>
      </c>
      <c r="B67" s="2">
        <f t="shared" si="1"/>
        <v>48061</v>
      </c>
      <c r="C67" s="5">
        <f t="shared" si="2"/>
        <v>281.64442436564184</v>
      </c>
      <c r="D67" s="5">
        <f t="shared" si="3"/>
        <v>103.90557563435816</v>
      </c>
      <c r="E67" s="5">
        <f t="shared" si="4"/>
        <v>385.55</v>
      </c>
      <c r="F67" s="5">
        <f t="shared" si="5"/>
        <v>53929.960254429912</v>
      </c>
    </row>
    <row r="68" spans="1:6" x14ac:dyDescent="0.3">
      <c r="A68">
        <f t="shared" si="0"/>
        <v>162</v>
      </c>
      <c r="B68" s="2">
        <f t="shared" si="1"/>
        <v>48092</v>
      </c>
      <c r="C68" s="5">
        <f t="shared" si="2"/>
        <v>282.18424284567601</v>
      </c>
      <c r="D68" s="5">
        <f t="shared" si="3"/>
        <v>103.365757154324</v>
      </c>
      <c r="E68" s="5">
        <f t="shared" si="4"/>
        <v>385.55</v>
      </c>
      <c r="F68" s="5">
        <f t="shared" si="5"/>
        <v>53647.776011584239</v>
      </c>
    </row>
    <row r="69" spans="1:6" x14ac:dyDescent="0.3">
      <c r="A69">
        <f t="shared" si="0"/>
        <v>161</v>
      </c>
      <c r="B69" s="2">
        <f t="shared" si="1"/>
        <v>48122</v>
      </c>
      <c r="C69" s="5">
        <f t="shared" si="2"/>
        <v>282.72509597779691</v>
      </c>
      <c r="D69" s="5">
        <f t="shared" si="3"/>
        <v>102.82490402220311</v>
      </c>
      <c r="E69" s="5">
        <f t="shared" si="4"/>
        <v>385.55</v>
      </c>
      <c r="F69" s="5">
        <f t="shared" si="5"/>
        <v>53365.050915606444</v>
      </c>
    </row>
    <row r="70" spans="1:6" x14ac:dyDescent="0.3">
      <c r="A70">
        <f t="shared" si="0"/>
        <v>160</v>
      </c>
      <c r="B70" s="2">
        <f t="shared" si="1"/>
        <v>48153</v>
      </c>
      <c r="C70" s="5">
        <f t="shared" si="2"/>
        <v>283.26698574508765</v>
      </c>
      <c r="D70" s="5">
        <f t="shared" si="3"/>
        <v>102.28301425491235</v>
      </c>
      <c r="E70" s="5">
        <f t="shared" si="4"/>
        <v>385.55</v>
      </c>
      <c r="F70" s="5">
        <f t="shared" si="5"/>
        <v>53081.783929861354</v>
      </c>
    </row>
    <row r="71" spans="1:6" x14ac:dyDescent="0.3">
      <c r="A71">
        <f t="shared" si="0"/>
        <v>159</v>
      </c>
      <c r="B71" s="2">
        <f t="shared" si="1"/>
        <v>48183</v>
      </c>
      <c r="C71" s="5">
        <f t="shared" si="2"/>
        <v>283.8099141344324</v>
      </c>
      <c r="D71" s="5">
        <f t="shared" si="3"/>
        <v>101.74008586556759</v>
      </c>
      <c r="E71" s="5">
        <f t="shared" si="4"/>
        <v>385.55</v>
      </c>
      <c r="F71" s="5">
        <f t="shared" si="5"/>
        <v>52797.974015726919</v>
      </c>
    </row>
    <row r="72" spans="1:6" x14ac:dyDescent="0.3">
      <c r="A72">
        <f t="shared" ref="A72:A135" si="6">A71-1</f>
        <v>158</v>
      </c>
      <c r="B72" s="2">
        <f t="shared" si="1"/>
        <v>48214</v>
      </c>
      <c r="C72" s="5">
        <f t="shared" si="2"/>
        <v>284.35388313652339</v>
      </c>
      <c r="D72" s="5">
        <f t="shared" si="3"/>
        <v>101.1961168634766</v>
      </c>
      <c r="E72" s="5">
        <f t="shared" si="4"/>
        <v>385.55</v>
      </c>
      <c r="F72" s="5">
        <f t="shared" si="5"/>
        <v>52513.620132590397</v>
      </c>
    </row>
    <row r="73" spans="1:6" x14ac:dyDescent="0.3">
      <c r="A73">
        <f t="shared" si="6"/>
        <v>157</v>
      </c>
      <c r="B73" s="2">
        <f t="shared" ref="B73:B136" si="7">EDATE(B72,1)</f>
        <v>48245</v>
      </c>
      <c r="C73" s="5">
        <f t="shared" ref="C73:C136" si="8">$C$2-D73</f>
        <v>284.8988947458684</v>
      </c>
      <c r="D73" s="5">
        <f t="shared" ref="D73:D136" si="9">F72*$B$2/12</f>
        <v>100.65110525413159</v>
      </c>
      <c r="E73" s="5">
        <f t="shared" ref="E73:E136" si="10">$C$2</f>
        <v>385.55</v>
      </c>
      <c r="F73" s="5">
        <f t="shared" ref="F73:F136" si="11">F72-C73</f>
        <v>52228.721237844526</v>
      </c>
    </row>
    <row r="74" spans="1:6" x14ac:dyDescent="0.3">
      <c r="A74">
        <f t="shared" si="6"/>
        <v>156</v>
      </c>
      <c r="B74" s="2">
        <f t="shared" si="7"/>
        <v>48274</v>
      </c>
      <c r="C74" s="5">
        <f t="shared" si="8"/>
        <v>285.444950960798</v>
      </c>
      <c r="D74" s="5">
        <f t="shared" si="9"/>
        <v>100.10504903920202</v>
      </c>
      <c r="E74" s="5">
        <f t="shared" si="10"/>
        <v>385.55</v>
      </c>
      <c r="F74" s="5">
        <f t="shared" si="11"/>
        <v>51943.276286883731</v>
      </c>
    </row>
    <row r="75" spans="1:6" x14ac:dyDescent="0.3">
      <c r="A75">
        <f t="shared" si="6"/>
        <v>155</v>
      </c>
      <c r="B75" s="2">
        <f t="shared" si="7"/>
        <v>48305</v>
      </c>
      <c r="C75" s="5">
        <f t="shared" si="8"/>
        <v>285.99205378347284</v>
      </c>
      <c r="D75" s="5">
        <f t="shared" si="9"/>
        <v>99.557946216527156</v>
      </c>
      <c r="E75" s="5">
        <f t="shared" si="10"/>
        <v>385.55</v>
      </c>
      <c r="F75" s="5">
        <f t="shared" si="11"/>
        <v>51657.284233100261</v>
      </c>
    </row>
    <row r="76" spans="1:6" x14ac:dyDescent="0.3">
      <c r="A76">
        <f t="shared" si="6"/>
        <v>154</v>
      </c>
      <c r="B76" s="2">
        <f t="shared" si="7"/>
        <v>48335</v>
      </c>
      <c r="C76" s="5">
        <f t="shared" si="8"/>
        <v>286.54020521989116</v>
      </c>
      <c r="D76" s="5">
        <f t="shared" si="9"/>
        <v>99.009794780108834</v>
      </c>
      <c r="E76" s="5">
        <f t="shared" si="10"/>
        <v>385.55</v>
      </c>
      <c r="F76" s="5">
        <f t="shared" si="11"/>
        <v>51370.74402788037</v>
      </c>
    </row>
    <row r="77" spans="1:6" x14ac:dyDescent="0.3">
      <c r="A77">
        <f t="shared" si="6"/>
        <v>153</v>
      </c>
      <c r="B77" s="2">
        <f t="shared" si="7"/>
        <v>48366</v>
      </c>
      <c r="C77" s="5">
        <f t="shared" si="8"/>
        <v>287.08940727989597</v>
      </c>
      <c r="D77" s="5">
        <f t="shared" si="9"/>
        <v>98.460592720104046</v>
      </c>
      <c r="E77" s="5">
        <f t="shared" si="10"/>
        <v>385.55</v>
      </c>
      <c r="F77" s="5">
        <f t="shared" si="11"/>
        <v>51083.654620600471</v>
      </c>
    </row>
    <row r="78" spans="1:6" x14ac:dyDescent="0.3">
      <c r="A78">
        <f t="shared" si="6"/>
        <v>152</v>
      </c>
      <c r="B78" s="2">
        <f t="shared" si="7"/>
        <v>48396</v>
      </c>
      <c r="C78" s="5">
        <f t="shared" si="8"/>
        <v>287.63966197718247</v>
      </c>
      <c r="D78" s="5">
        <f t="shared" si="9"/>
        <v>97.910338022817555</v>
      </c>
      <c r="E78" s="5">
        <f t="shared" si="10"/>
        <v>385.55</v>
      </c>
      <c r="F78" s="5">
        <f t="shared" si="11"/>
        <v>50796.014958623287</v>
      </c>
    </row>
    <row r="79" spans="1:6" x14ac:dyDescent="0.3">
      <c r="A79">
        <f t="shared" si="6"/>
        <v>151</v>
      </c>
      <c r="B79" s="2">
        <f t="shared" si="7"/>
        <v>48427</v>
      </c>
      <c r="C79" s="5">
        <f t="shared" si="8"/>
        <v>288.1909713293054</v>
      </c>
      <c r="D79" s="5">
        <f t="shared" si="9"/>
        <v>97.359028670694627</v>
      </c>
      <c r="E79" s="5">
        <f t="shared" si="10"/>
        <v>385.55</v>
      </c>
      <c r="F79" s="5">
        <f t="shared" si="11"/>
        <v>50507.823987293981</v>
      </c>
    </row>
    <row r="80" spans="1:6" x14ac:dyDescent="0.3">
      <c r="A80">
        <f t="shared" si="6"/>
        <v>150</v>
      </c>
      <c r="B80" s="2">
        <f t="shared" si="7"/>
        <v>48458</v>
      </c>
      <c r="C80" s="5">
        <f t="shared" si="8"/>
        <v>288.74333735768653</v>
      </c>
      <c r="D80" s="5">
        <f t="shared" si="9"/>
        <v>96.806662642313469</v>
      </c>
      <c r="E80" s="5">
        <f t="shared" si="10"/>
        <v>385.55</v>
      </c>
      <c r="F80" s="5">
        <f t="shared" si="11"/>
        <v>50219.080649936295</v>
      </c>
    </row>
    <row r="81" spans="1:6" x14ac:dyDescent="0.3">
      <c r="A81">
        <f t="shared" si="6"/>
        <v>149</v>
      </c>
      <c r="B81" s="2">
        <f t="shared" si="7"/>
        <v>48488</v>
      </c>
      <c r="C81" s="5">
        <f t="shared" si="8"/>
        <v>289.29676208762214</v>
      </c>
      <c r="D81" s="5">
        <f t="shared" si="9"/>
        <v>96.253237912377884</v>
      </c>
      <c r="E81" s="5">
        <f t="shared" si="10"/>
        <v>385.55</v>
      </c>
      <c r="F81" s="5">
        <f t="shared" si="11"/>
        <v>49929.783887848673</v>
      </c>
    </row>
    <row r="82" spans="1:6" x14ac:dyDescent="0.3">
      <c r="A82">
        <f t="shared" si="6"/>
        <v>148</v>
      </c>
      <c r="B82" s="2">
        <f t="shared" si="7"/>
        <v>48519</v>
      </c>
      <c r="C82" s="5">
        <f t="shared" si="8"/>
        <v>289.85124754829008</v>
      </c>
      <c r="D82" s="5">
        <f t="shared" si="9"/>
        <v>95.69875245170995</v>
      </c>
      <c r="E82" s="5">
        <f t="shared" si="10"/>
        <v>385.55</v>
      </c>
      <c r="F82" s="5">
        <f t="shared" si="11"/>
        <v>49639.93264030038</v>
      </c>
    </row>
    <row r="83" spans="1:6" x14ac:dyDescent="0.3">
      <c r="A83">
        <f t="shared" si="6"/>
        <v>147</v>
      </c>
      <c r="B83" s="2">
        <f t="shared" si="7"/>
        <v>48549</v>
      </c>
      <c r="C83" s="5">
        <f t="shared" si="8"/>
        <v>290.40679577275762</v>
      </c>
      <c r="D83" s="5">
        <f t="shared" si="9"/>
        <v>95.143204227242393</v>
      </c>
      <c r="E83" s="5">
        <f t="shared" si="10"/>
        <v>385.55</v>
      </c>
      <c r="F83" s="5">
        <f t="shared" si="11"/>
        <v>49349.525844527619</v>
      </c>
    </row>
    <row r="84" spans="1:6" x14ac:dyDescent="0.3">
      <c r="A84">
        <f t="shared" si="6"/>
        <v>146</v>
      </c>
      <c r="B84" s="2">
        <f t="shared" si="7"/>
        <v>48580</v>
      </c>
      <c r="C84" s="5">
        <f t="shared" si="8"/>
        <v>290.96340879798873</v>
      </c>
      <c r="D84" s="5">
        <f t="shared" si="9"/>
        <v>94.586591202011277</v>
      </c>
      <c r="E84" s="5">
        <f t="shared" si="10"/>
        <v>385.55</v>
      </c>
      <c r="F84" s="5">
        <f t="shared" si="11"/>
        <v>49058.562435729633</v>
      </c>
    </row>
    <row r="85" spans="1:6" x14ac:dyDescent="0.3">
      <c r="A85">
        <f t="shared" si="6"/>
        <v>145</v>
      </c>
      <c r="B85" s="2">
        <f t="shared" si="7"/>
        <v>48611</v>
      </c>
      <c r="C85" s="5">
        <f t="shared" si="8"/>
        <v>291.52108866485156</v>
      </c>
      <c r="D85" s="5">
        <f t="shared" si="9"/>
        <v>94.028911335148464</v>
      </c>
      <c r="E85" s="5">
        <f t="shared" si="10"/>
        <v>385.55</v>
      </c>
      <c r="F85" s="5">
        <f t="shared" si="11"/>
        <v>48767.041347064784</v>
      </c>
    </row>
    <row r="86" spans="1:6" x14ac:dyDescent="0.3">
      <c r="A86">
        <f t="shared" si="6"/>
        <v>144</v>
      </c>
      <c r="B86" s="2">
        <f t="shared" si="7"/>
        <v>48639</v>
      </c>
      <c r="C86" s="5">
        <f t="shared" si="8"/>
        <v>292.07983741812586</v>
      </c>
      <c r="D86" s="5">
        <f t="shared" si="9"/>
        <v>93.470162581874163</v>
      </c>
      <c r="E86" s="5">
        <f t="shared" si="10"/>
        <v>385.55</v>
      </c>
      <c r="F86" s="5">
        <f t="shared" si="11"/>
        <v>48474.961509646659</v>
      </c>
    </row>
    <row r="87" spans="1:6" x14ac:dyDescent="0.3">
      <c r="A87">
        <f t="shared" si="6"/>
        <v>143</v>
      </c>
      <c r="B87" s="2">
        <f t="shared" si="7"/>
        <v>48670</v>
      </c>
      <c r="C87" s="5">
        <f t="shared" si="8"/>
        <v>292.63965710651058</v>
      </c>
      <c r="D87" s="5">
        <f t="shared" si="9"/>
        <v>92.910342893489428</v>
      </c>
      <c r="E87" s="5">
        <f t="shared" si="10"/>
        <v>385.55</v>
      </c>
      <c r="F87" s="5">
        <f t="shared" si="11"/>
        <v>48182.321852540146</v>
      </c>
    </row>
    <row r="88" spans="1:6" x14ac:dyDescent="0.3">
      <c r="A88">
        <f t="shared" si="6"/>
        <v>142</v>
      </c>
      <c r="B88" s="2">
        <f t="shared" si="7"/>
        <v>48700</v>
      </c>
      <c r="C88" s="5">
        <f t="shared" si="8"/>
        <v>293.20054978263141</v>
      </c>
      <c r="D88" s="5">
        <f t="shared" si="9"/>
        <v>92.349450217368613</v>
      </c>
      <c r="E88" s="5">
        <f t="shared" si="10"/>
        <v>385.55</v>
      </c>
      <c r="F88" s="5">
        <f t="shared" si="11"/>
        <v>47889.121302757514</v>
      </c>
    </row>
    <row r="89" spans="1:6" x14ac:dyDescent="0.3">
      <c r="A89">
        <f t="shared" si="6"/>
        <v>141</v>
      </c>
      <c r="B89" s="2">
        <f t="shared" si="7"/>
        <v>48731</v>
      </c>
      <c r="C89" s="5">
        <f t="shared" si="8"/>
        <v>293.76251750304812</v>
      </c>
      <c r="D89" s="5">
        <f t="shared" si="9"/>
        <v>91.787482496951895</v>
      </c>
      <c r="E89" s="5">
        <f t="shared" si="10"/>
        <v>385.55</v>
      </c>
      <c r="F89" s="5">
        <f t="shared" si="11"/>
        <v>47595.358785254466</v>
      </c>
    </row>
    <row r="90" spans="1:6" x14ac:dyDescent="0.3">
      <c r="A90">
        <f t="shared" si="6"/>
        <v>140</v>
      </c>
      <c r="B90" s="2">
        <f t="shared" si="7"/>
        <v>48761</v>
      </c>
      <c r="C90" s="5">
        <f t="shared" si="8"/>
        <v>294.32556232826227</v>
      </c>
      <c r="D90" s="5">
        <f t="shared" si="9"/>
        <v>91.224437671737732</v>
      </c>
      <c r="E90" s="5">
        <f t="shared" si="10"/>
        <v>385.55</v>
      </c>
      <c r="F90" s="5">
        <f t="shared" si="11"/>
        <v>47301.033222926206</v>
      </c>
    </row>
    <row r="91" spans="1:6" x14ac:dyDescent="0.3">
      <c r="A91">
        <f t="shared" si="6"/>
        <v>139</v>
      </c>
      <c r="B91" s="2">
        <f t="shared" si="7"/>
        <v>48792</v>
      </c>
      <c r="C91" s="5">
        <f t="shared" si="8"/>
        <v>294.8896863227248</v>
      </c>
      <c r="D91" s="5">
        <f t="shared" si="9"/>
        <v>90.660313677275226</v>
      </c>
      <c r="E91" s="5">
        <f t="shared" si="10"/>
        <v>385.55</v>
      </c>
      <c r="F91" s="5">
        <f t="shared" si="11"/>
        <v>47006.143536603478</v>
      </c>
    </row>
    <row r="92" spans="1:6" x14ac:dyDescent="0.3">
      <c r="A92">
        <f t="shared" si="6"/>
        <v>138</v>
      </c>
      <c r="B92" s="2">
        <f t="shared" si="7"/>
        <v>48823</v>
      </c>
      <c r="C92" s="5">
        <f t="shared" si="8"/>
        <v>295.45489155484336</v>
      </c>
      <c r="D92" s="5">
        <f t="shared" si="9"/>
        <v>90.095108445156669</v>
      </c>
      <c r="E92" s="5">
        <f t="shared" si="10"/>
        <v>385.55</v>
      </c>
      <c r="F92" s="5">
        <f t="shared" si="11"/>
        <v>46710.688645048634</v>
      </c>
    </row>
    <row r="93" spans="1:6" x14ac:dyDescent="0.3">
      <c r="A93">
        <f t="shared" si="6"/>
        <v>137</v>
      </c>
      <c r="B93" s="2">
        <f t="shared" si="7"/>
        <v>48853</v>
      </c>
      <c r="C93" s="5">
        <f t="shared" si="8"/>
        <v>296.02118009699012</v>
      </c>
      <c r="D93" s="5">
        <f t="shared" si="9"/>
        <v>89.528819903009889</v>
      </c>
      <c r="E93" s="5">
        <f t="shared" si="10"/>
        <v>385.55</v>
      </c>
      <c r="F93" s="5">
        <f t="shared" si="11"/>
        <v>46414.667464951643</v>
      </c>
    </row>
    <row r="94" spans="1:6" x14ac:dyDescent="0.3">
      <c r="A94">
        <f t="shared" si="6"/>
        <v>136</v>
      </c>
      <c r="B94" s="2">
        <f t="shared" si="7"/>
        <v>48884</v>
      </c>
      <c r="C94" s="5">
        <f t="shared" si="8"/>
        <v>296.58855402550938</v>
      </c>
      <c r="D94" s="5">
        <f t="shared" si="9"/>
        <v>88.961445974490644</v>
      </c>
      <c r="E94" s="5">
        <f t="shared" si="10"/>
        <v>385.55</v>
      </c>
      <c r="F94" s="5">
        <f t="shared" si="11"/>
        <v>46118.078910926131</v>
      </c>
    </row>
    <row r="95" spans="1:6" x14ac:dyDescent="0.3">
      <c r="A95">
        <f t="shared" si="6"/>
        <v>135</v>
      </c>
      <c r="B95" s="2">
        <f t="shared" si="7"/>
        <v>48914</v>
      </c>
      <c r="C95" s="5">
        <f t="shared" si="8"/>
        <v>297.15701542072492</v>
      </c>
      <c r="D95" s="5">
        <f t="shared" si="9"/>
        <v>88.39298457927508</v>
      </c>
      <c r="E95" s="5">
        <f t="shared" si="10"/>
        <v>385.55</v>
      </c>
      <c r="F95" s="5">
        <f t="shared" si="11"/>
        <v>45820.921895505409</v>
      </c>
    </row>
    <row r="96" spans="1:6" x14ac:dyDescent="0.3">
      <c r="A96">
        <f t="shared" si="6"/>
        <v>134</v>
      </c>
      <c r="B96" s="2">
        <f t="shared" si="7"/>
        <v>48945</v>
      </c>
      <c r="C96" s="5">
        <f t="shared" si="8"/>
        <v>297.72656636694796</v>
      </c>
      <c r="D96" s="5">
        <f t="shared" si="9"/>
        <v>87.823433633052034</v>
      </c>
      <c r="E96" s="5">
        <f t="shared" si="10"/>
        <v>385.55</v>
      </c>
      <c r="F96" s="5">
        <f t="shared" si="11"/>
        <v>45523.195329138463</v>
      </c>
    </row>
    <row r="97" spans="1:6" x14ac:dyDescent="0.3">
      <c r="A97">
        <f t="shared" si="6"/>
        <v>133</v>
      </c>
      <c r="B97" s="2">
        <f t="shared" si="7"/>
        <v>48976</v>
      </c>
      <c r="C97" s="5">
        <f t="shared" si="8"/>
        <v>298.29720895248465</v>
      </c>
      <c r="D97" s="5">
        <f t="shared" si="9"/>
        <v>87.252791047515373</v>
      </c>
      <c r="E97" s="5">
        <f t="shared" si="10"/>
        <v>385.55</v>
      </c>
      <c r="F97" s="5">
        <f t="shared" si="11"/>
        <v>45224.898120185979</v>
      </c>
    </row>
    <row r="98" spans="1:6" x14ac:dyDescent="0.3">
      <c r="A98">
        <f t="shared" si="6"/>
        <v>132</v>
      </c>
      <c r="B98" s="2">
        <f t="shared" si="7"/>
        <v>49004</v>
      </c>
      <c r="C98" s="5">
        <f t="shared" si="8"/>
        <v>298.86894526964358</v>
      </c>
      <c r="D98" s="5">
        <f t="shared" si="9"/>
        <v>86.68105473035645</v>
      </c>
      <c r="E98" s="5">
        <f t="shared" si="10"/>
        <v>385.55</v>
      </c>
      <c r="F98" s="5">
        <f t="shared" si="11"/>
        <v>44926.029174916337</v>
      </c>
    </row>
    <row r="99" spans="1:6" x14ac:dyDescent="0.3">
      <c r="A99">
        <f t="shared" si="6"/>
        <v>131</v>
      </c>
      <c r="B99" s="2">
        <f t="shared" si="7"/>
        <v>49035</v>
      </c>
      <c r="C99" s="5">
        <f t="shared" si="8"/>
        <v>299.44177741474368</v>
      </c>
      <c r="D99" s="5">
        <f t="shared" si="9"/>
        <v>86.108222585256314</v>
      </c>
      <c r="E99" s="5">
        <f t="shared" si="10"/>
        <v>385.55</v>
      </c>
      <c r="F99" s="5">
        <f t="shared" si="11"/>
        <v>44626.587397501593</v>
      </c>
    </row>
    <row r="100" spans="1:6" x14ac:dyDescent="0.3">
      <c r="A100">
        <f t="shared" si="6"/>
        <v>130</v>
      </c>
      <c r="B100" s="2">
        <f t="shared" si="7"/>
        <v>49065</v>
      </c>
      <c r="C100" s="5">
        <f t="shared" si="8"/>
        <v>300.01570748812196</v>
      </c>
      <c r="D100" s="5">
        <f t="shared" si="9"/>
        <v>85.53429251187805</v>
      </c>
      <c r="E100" s="5">
        <f t="shared" si="10"/>
        <v>385.55</v>
      </c>
      <c r="F100" s="5">
        <f t="shared" si="11"/>
        <v>44326.571690013472</v>
      </c>
    </row>
    <row r="101" spans="1:6" x14ac:dyDescent="0.3">
      <c r="A101">
        <f t="shared" si="6"/>
        <v>129</v>
      </c>
      <c r="B101" s="2">
        <f t="shared" si="7"/>
        <v>49096</v>
      </c>
      <c r="C101" s="5">
        <f t="shared" si="8"/>
        <v>300.59073759414088</v>
      </c>
      <c r="D101" s="5">
        <f t="shared" si="9"/>
        <v>84.95926240585915</v>
      </c>
      <c r="E101" s="5">
        <f t="shared" si="10"/>
        <v>385.55</v>
      </c>
      <c r="F101" s="5">
        <f t="shared" si="11"/>
        <v>44025.980952419333</v>
      </c>
    </row>
    <row r="102" spans="1:6" x14ac:dyDescent="0.3">
      <c r="A102">
        <f t="shared" si="6"/>
        <v>128</v>
      </c>
      <c r="B102" s="2">
        <f t="shared" si="7"/>
        <v>49126</v>
      </c>
      <c r="C102" s="5">
        <f t="shared" si="8"/>
        <v>301.16686984119627</v>
      </c>
      <c r="D102" s="5">
        <f t="shared" si="9"/>
        <v>84.383130158803723</v>
      </c>
      <c r="E102" s="5">
        <f t="shared" si="10"/>
        <v>385.55</v>
      </c>
      <c r="F102" s="5">
        <f t="shared" si="11"/>
        <v>43724.814082578137</v>
      </c>
    </row>
    <row r="103" spans="1:6" x14ac:dyDescent="0.3">
      <c r="A103">
        <f t="shared" si="6"/>
        <v>127</v>
      </c>
      <c r="B103" s="2">
        <f t="shared" si="7"/>
        <v>49157</v>
      </c>
      <c r="C103" s="5">
        <f t="shared" si="8"/>
        <v>301.74410634172523</v>
      </c>
      <c r="D103" s="5">
        <f t="shared" si="9"/>
        <v>83.805893658274769</v>
      </c>
      <c r="E103" s="5">
        <f t="shared" si="10"/>
        <v>385.55</v>
      </c>
      <c r="F103" s="5">
        <f t="shared" si="11"/>
        <v>43423.069976236409</v>
      </c>
    </row>
    <row r="104" spans="1:6" x14ac:dyDescent="0.3">
      <c r="A104">
        <f t="shared" si="6"/>
        <v>126</v>
      </c>
      <c r="B104" s="2">
        <f t="shared" si="7"/>
        <v>49188</v>
      </c>
      <c r="C104" s="5">
        <f t="shared" si="8"/>
        <v>302.32244921221354</v>
      </c>
      <c r="D104" s="5">
        <f t="shared" si="9"/>
        <v>83.227550787786456</v>
      </c>
      <c r="E104" s="5">
        <f t="shared" si="10"/>
        <v>385.55</v>
      </c>
      <c r="F104" s="5">
        <f t="shared" si="11"/>
        <v>43120.747527024199</v>
      </c>
    </row>
    <row r="105" spans="1:6" x14ac:dyDescent="0.3">
      <c r="A105">
        <f t="shared" si="6"/>
        <v>125</v>
      </c>
      <c r="B105" s="2">
        <f t="shared" si="7"/>
        <v>49218</v>
      </c>
      <c r="C105" s="5">
        <f t="shared" si="8"/>
        <v>302.90190057320365</v>
      </c>
      <c r="D105" s="5">
        <f t="shared" si="9"/>
        <v>82.648099426796378</v>
      </c>
      <c r="E105" s="5">
        <f t="shared" si="10"/>
        <v>385.55</v>
      </c>
      <c r="F105" s="5">
        <f t="shared" si="11"/>
        <v>42817.845626450995</v>
      </c>
    </row>
    <row r="106" spans="1:6" x14ac:dyDescent="0.3">
      <c r="A106">
        <f t="shared" si="6"/>
        <v>124</v>
      </c>
      <c r="B106" s="2">
        <f t="shared" si="7"/>
        <v>49249</v>
      </c>
      <c r="C106" s="5">
        <f t="shared" si="8"/>
        <v>303.48246254930228</v>
      </c>
      <c r="D106" s="5">
        <f t="shared" si="9"/>
        <v>82.067537450697742</v>
      </c>
      <c r="E106" s="5">
        <f t="shared" si="10"/>
        <v>385.55</v>
      </c>
      <c r="F106" s="5">
        <f t="shared" si="11"/>
        <v>42514.363163901689</v>
      </c>
    </row>
    <row r="107" spans="1:6" x14ac:dyDescent="0.3">
      <c r="A107">
        <f t="shared" si="6"/>
        <v>123</v>
      </c>
      <c r="B107" s="2">
        <f t="shared" si="7"/>
        <v>49279</v>
      </c>
      <c r="C107" s="5">
        <f t="shared" si="8"/>
        <v>304.06413726918845</v>
      </c>
      <c r="D107" s="5">
        <f t="shared" si="9"/>
        <v>81.485862730811576</v>
      </c>
      <c r="E107" s="5">
        <f t="shared" si="10"/>
        <v>385.55</v>
      </c>
      <c r="F107" s="5">
        <f t="shared" si="11"/>
        <v>42210.2990266325</v>
      </c>
    </row>
    <row r="108" spans="1:6" x14ac:dyDescent="0.3">
      <c r="A108">
        <f t="shared" si="6"/>
        <v>122</v>
      </c>
      <c r="B108" s="2">
        <f t="shared" si="7"/>
        <v>49310</v>
      </c>
      <c r="C108" s="5">
        <f t="shared" si="8"/>
        <v>304.64692686562103</v>
      </c>
      <c r="D108" s="5">
        <f t="shared" si="9"/>
        <v>80.903073134378957</v>
      </c>
      <c r="E108" s="5">
        <f t="shared" si="10"/>
        <v>385.55</v>
      </c>
      <c r="F108" s="5">
        <f t="shared" si="11"/>
        <v>41905.652099766878</v>
      </c>
    </row>
    <row r="109" spans="1:6" x14ac:dyDescent="0.3">
      <c r="A109">
        <f t="shared" si="6"/>
        <v>121</v>
      </c>
      <c r="B109" s="2">
        <f t="shared" si="7"/>
        <v>49341</v>
      </c>
      <c r="C109" s="5">
        <f t="shared" si="8"/>
        <v>305.23083347544684</v>
      </c>
      <c r="D109" s="5">
        <f t="shared" si="9"/>
        <v>80.319166524553182</v>
      </c>
      <c r="E109" s="5">
        <f t="shared" si="10"/>
        <v>385.55</v>
      </c>
      <c r="F109" s="5">
        <f t="shared" si="11"/>
        <v>41600.421266291429</v>
      </c>
    </row>
    <row r="110" spans="1:6" x14ac:dyDescent="0.3">
      <c r="A110">
        <f t="shared" si="6"/>
        <v>120</v>
      </c>
      <c r="B110" s="2">
        <f t="shared" si="7"/>
        <v>49369</v>
      </c>
      <c r="C110" s="5">
        <f t="shared" si="8"/>
        <v>305.81585923960813</v>
      </c>
      <c r="D110" s="5">
        <f t="shared" si="9"/>
        <v>79.734140760391895</v>
      </c>
      <c r="E110" s="5">
        <f t="shared" si="10"/>
        <v>385.55</v>
      </c>
      <c r="F110" s="5">
        <f t="shared" si="11"/>
        <v>41294.605407051822</v>
      </c>
    </row>
    <row r="111" spans="1:6" x14ac:dyDescent="0.3">
      <c r="A111">
        <f t="shared" si="6"/>
        <v>119</v>
      </c>
      <c r="B111" s="2">
        <f t="shared" si="7"/>
        <v>49400</v>
      </c>
      <c r="C111" s="5">
        <f t="shared" si="8"/>
        <v>306.4020063031507</v>
      </c>
      <c r="D111" s="5">
        <f t="shared" si="9"/>
        <v>79.147993696849326</v>
      </c>
      <c r="E111" s="5">
        <f t="shared" si="10"/>
        <v>385.55</v>
      </c>
      <c r="F111" s="5">
        <f t="shared" si="11"/>
        <v>40988.203400748673</v>
      </c>
    </row>
    <row r="112" spans="1:6" x14ac:dyDescent="0.3">
      <c r="A112">
        <f t="shared" si="6"/>
        <v>118</v>
      </c>
      <c r="B112" s="2">
        <f t="shared" si="7"/>
        <v>49430</v>
      </c>
      <c r="C112" s="5">
        <f t="shared" si="8"/>
        <v>306.98927681523173</v>
      </c>
      <c r="D112" s="5">
        <f t="shared" si="9"/>
        <v>78.560723184768293</v>
      </c>
      <c r="E112" s="5">
        <f t="shared" si="10"/>
        <v>385.55</v>
      </c>
      <c r="F112" s="5">
        <f t="shared" si="11"/>
        <v>40681.214123933438</v>
      </c>
    </row>
    <row r="113" spans="1:6" x14ac:dyDescent="0.3">
      <c r="A113">
        <f t="shared" si="6"/>
        <v>117</v>
      </c>
      <c r="B113" s="2">
        <f t="shared" si="7"/>
        <v>49461</v>
      </c>
      <c r="C113" s="5">
        <f t="shared" si="8"/>
        <v>307.57767292912757</v>
      </c>
      <c r="D113" s="5">
        <f t="shared" si="9"/>
        <v>77.972327070872424</v>
      </c>
      <c r="E113" s="5">
        <f t="shared" si="10"/>
        <v>385.55</v>
      </c>
      <c r="F113" s="5">
        <f t="shared" si="11"/>
        <v>40373.636451004313</v>
      </c>
    </row>
    <row r="114" spans="1:6" x14ac:dyDescent="0.3">
      <c r="A114">
        <f t="shared" si="6"/>
        <v>116</v>
      </c>
      <c r="B114" s="2">
        <f t="shared" si="7"/>
        <v>49491</v>
      </c>
      <c r="C114" s="5">
        <f t="shared" si="8"/>
        <v>308.16719680224173</v>
      </c>
      <c r="D114" s="5">
        <f t="shared" si="9"/>
        <v>77.382803197758264</v>
      </c>
      <c r="E114" s="5">
        <f t="shared" si="10"/>
        <v>385.55</v>
      </c>
      <c r="F114" s="5">
        <f t="shared" si="11"/>
        <v>40065.469254202071</v>
      </c>
    </row>
    <row r="115" spans="1:6" x14ac:dyDescent="0.3">
      <c r="A115">
        <f t="shared" si="6"/>
        <v>115</v>
      </c>
      <c r="B115" s="2">
        <f t="shared" si="7"/>
        <v>49522</v>
      </c>
      <c r="C115" s="5">
        <f t="shared" si="8"/>
        <v>308.75785059611269</v>
      </c>
      <c r="D115" s="5">
        <f t="shared" si="9"/>
        <v>76.792149403887308</v>
      </c>
      <c r="E115" s="5">
        <f t="shared" si="10"/>
        <v>385.55</v>
      </c>
      <c r="F115" s="5">
        <f t="shared" si="11"/>
        <v>39756.711403605957</v>
      </c>
    </row>
    <row r="116" spans="1:6" x14ac:dyDescent="0.3">
      <c r="A116">
        <f t="shared" si="6"/>
        <v>114</v>
      </c>
      <c r="B116" s="2">
        <f t="shared" si="7"/>
        <v>49553</v>
      </c>
      <c r="C116" s="5">
        <f t="shared" si="8"/>
        <v>309.34963647642195</v>
      </c>
      <c r="D116" s="5">
        <f t="shared" si="9"/>
        <v>76.200363523578076</v>
      </c>
      <c r="E116" s="5">
        <f t="shared" si="10"/>
        <v>385.55</v>
      </c>
      <c r="F116" s="5">
        <f t="shared" si="11"/>
        <v>39447.361767129536</v>
      </c>
    </row>
    <row r="117" spans="1:6" x14ac:dyDescent="0.3">
      <c r="A117">
        <f t="shared" si="6"/>
        <v>113</v>
      </c>
      <c r="B117" s="2">
        <f t="shared" si="7"/>
        <v>49583</v>
      </c>
      <c r="C117" s="5">
        <f t="shared" si="8"/>
        <v>309.94255661300173</v>
      </c>
      <c r="D117" s="5">
        <f t="shared" si="9"/>
        <v>75.60744338699827</v>
      </c>
      <c r="E117" s="5">
        <f t="shared" si="10"/>
        <v>385.55</v>
      </c>
      <c r="F117" s="5">
        <f t="shared" si="11"/>
        <v>39137.419210516535</v>
      </c>
    </row>
    <row r="118" spans="1:6" x14ac:dyDescent="0.3">
      <c r="A118">
        <f t="shared" si="6"/>
        <v>112</v>
      </c>
      <c r="B118" s="2">
        <f t="shared" si="7"/>
        <v>49614</v>
      </c>
      <c r="C118" s="5">
        <f t="shared" si="8"/>
        <v>310.5366131798433</v>
      </c>
      <c r="D118" s="5">
        <f t="shared" si="9"/>
        <v>75.013386820156697</v>
      </c>
      <c r="E118" s="5">
        <f t="shared" si="10"/>
        <v>385.55</v>
      </c>
      <c r="F118" s="5">
        <f t="shared" si="11"/>
        <v>38826.882597336691</v>
      </c>
    </row>
    <row r="119" spans="1:6" x14ac:dyDescent="0.3">
      <c r="A119">
        <f t="shared" si="6"/>
        <v>111</v>
      </c>
      <c r="B119" s="2">
        <f t="shared" si="7"/>
        <v>49644</v>
      </c>
      <c r="C119" s="5">
        <f t="shared" si="8"/>
        <v>311.13180835510468</v>
      </c>
      <c r="D119" s="5">
        <f t="shared" si="9"/>
        <v>74.418191644895316</v>
      </c>
      <c r="E119" s="5">
        <f t="shared" si="10"/>
        <v>385.55</v>
      </c>
      <c r="F119" s="5">
        <f t="shared" si="11"/>
        <v>38515.75078898159</v>
      </c>
    </row>
    <row r="120" spans="1:6" x14ac:dyDescent="0.3">
      <c r="A120">
        <f t="shared" si="6"/>
        <v>110</v>
      </c>
      <c r="B120" s="2">
        <f t="shared" si="7"/>
        <v>49675</v>
      </c>
      <c r="C120" s="5">
        <f t="shared" si="8"/>
        <v>311.72814432111863</v>
      </c>
      <c r="D120" s="5">
        <f t="shared" si="9"/>
        <v>73.821855678881377</v>
      </c>
      <c r="E120" s="5">
        <f t="shared" si="10"/>
        <v>385.55</v>
      </c>
      <c r="F120" s="5">
        <f t="shared" si="11"/>
        <v>38204.022644660472</v>
      </c>
    </row>
    <row r="121" spans="1:6" x14ac:dyDescent="0.3">
      <c r="A121">
        <f t="shared" si="6"/>
        <v>109</v>
      </c>
      <c r="B121" s="2">
        <f t="shared" si="7"/>
        <v>49706</v>
      </c>
      <c r="C121" s="5">
        <f t="shared" si="8"/>
        <v>312.32562326440075</v>
      </c>
      <c r="D121" s="5">
        <f t="shared" si="9"/>
        <v>73.224376735599236</v>
      </c>
      <c r="E121" s="5">
        <f t="shared" si="10"/>
        <v>385.55</v>
      </c>
      <c r="F121" s="5">
        <f t="shared" si="11"/>
        <v>37891.697021396074</v>
      </c>
    </row>
    <row r="122" spans="1:6" x14ac:dyDescent="0.3">
      <c r="A122">
        <f t="shared" si="6"/>
        <v>108</v>
      </c>
      <c r="B122" s="2">
        <f t="shared" si="7"/>
        <v>49735</v>
      </c>
      <c r="C122" s="5">
        <f t="shared" si="8"/>
        <v>312.92424737565756</v>
      </c>
      <c r="D122" s="5">
        <f t="shared" si="9"/>
        <v>72.625752624342468</v>
      </c>
      <c r="E122" s="5">
        <f t="shared" si="10"/>
        <v>385.55</v>
      </c>
      <c r="F122" s="5">
        <f t="shared" si="11"/>
        <v>37578.772774020414</v>
      </c>
    </row>
    <row r="123" spans="1:6" x14ac:dyDescent="0.3">
      <c r="A123">
        <f t="shared" si="6"/>
        <v>107</v>
      </c>
      <c r="B123" s="2">
        <f t="shared" si="7"/>
        <v>49766</v>
      </c>
      <c r="C123" s="5">
        <f t="shared" si="8"/>
        <v>313.52401884979423</v>
      </c>
      <c r="D123" s="5">
        <f t="shared" si="9"/>
        <v>72.025981150205794</v>
      </c>
      <c r="E123" s="5">
        <f t="shared" si="10"/>
        <v>385.55</v>
      </c>
      <c r="F123" s="5">
        <f t="shared" si="11"/>
        <v>37265.248755170622</v>
      </c>
    </row>
    <row r="124" spans="1:6" x14ac:dyDescent="0.3">
      <c r="A124">
        <f t="shared" si="6"/>
        <v>106</v>
      </c>
      <c r="B124" s="2">
        <f t="shared" si="7"/>
        <v>49796</v>
      </c>
      <c r="C124" s="5">
        <f t="shared" si="8"/>
        <v>314.12493988592297</v>
      </c>
      <c r="D124" s="5">
        <f t="shared" si="9"/>
        <v>71.425060114077027</v>
      </c>
      <c r="E124" s="5">
        <f t="shared" si="10"/>
        <v>385.55</v>
      </c>
      <c r="F124" s="5">
        <f t="shared" si="11"/>
        <v>36951.1238152847</v>
      </c>
    </row>
    <row r="125" spans="1:6" x14ac:dyDescent="0.3">
      <c r="A125">
        <f t="shared" si="6"/>
        <v>105</v>
      </c>
      <c r="B125" s="2">
        <f t="shared" si="7"/>
        <v>49827</v>
      </c>
      <c r="C125" s="5">
        <f t="shared" si="8"/>
        <v>314.72701268737103</v>
      </c>
      <c r="D125" s="5">
        <f t="shared" si="9"/>
        <v>70.82298731262901</v>
      </c>
      <c r="E125" s="5">
        <f t="shared" si="10"/>
        <v>385.55</v>
      </c>
      <c r="F125" s="5">
        <f t="shared" si="11"/>
        <v>36636.39680259733</v>
      </c>
    </row>
    <row r="126" spans="1:6" x14ac:dyDescent="0.3">
      <c r="A126">
        <f t="shared" si="6"/>
        <v>104</v>
      </c>
      <c r="B126" s="2">
        <f t="shared" si="7"/>
        <v>49857</v>
      </c>
      <c r="C126" s="5">
        <f t="shared" si="8"/>
        <v>315.33023946168845</v>
      </c>
      <c r="D126" s="5">
        <f t="shared" si="9"/>
        <v>70.219760538311547</v>
      </c>
      <c r="E126" s="5">
        <f t="shared" si="10"/>
        <v>385.55</v>
      </c>
      <c r="F126" s="5">
        <f t="shared" si="11"/>
        <v>36321.066563135639</v>
      </c>
    </row>
    <row r="127" spans="1:6" x14ac:dyDescent="0.3">
      <c r="A127">
        <f t="shared" si="6"/>
        <v>103</v>
      </c>
      <c r="B127" s="2">
        <f t="shared" si="7"/>
        <v>49888</v>
      </c>
      <c r="C127" s="5">
        <f t="shared" si="8"/>
        <v>315.93462242065669</v>
      </c>
      <c r="D127" s="5">
        <f t="shared" si="9"/>
        <v>69.615377579343303</v>
      </c>
      <c r="E127" s="5">
        <f t="shared" si="10"/>
        <v>385.55</v>
      </c>
      <c r="F127" s="5">
        <f t="shared" si="11"/>
        <v>36005.131940714979</v>
      </c>
    </row>
    <row r="128" spans="1:6" x14ac:dyDescent="0.3">
      <c r="A128">
        <f t="shared" si="6"/>
        <v>102</v>
      </c>
      <c r="B128" s="2">
        <f t="shared" si="7"/>
        <v>49919</v>
      </c>
      <c r="C128" s="5">
        <f t="shared" si="8"/>
        <v>316.54016378029633</v>
      </c>
      <c r="D128" s="5">
        <f t="shared" si="9"/>
        <v>69.009836219703701</v>
      </c>
      <c r="E128" s="5">
        <f t="shared" si="10"/>
        <v>385.55</v>
      </c>
      <c r="F128" s="5">
        <f t="shared" si="11"/>
        <v>35688.591776934685</v>
      </c>
    </row>
    <row r="129" spans="1:6" x14ac:dyDescent="0.3">
      <c r="A129">
        <f t="shared" si="6"/>
        <v>101</v>
      </c>
      <c r="B129" s="2">
        <f t="shared" si="7"/>
        <v>49949</v>
      </c>
      <c r="C129" s="5">
        <f t="shared" si="8"/>
        <v>317.14686576087519</v>
      </c>
      <c r="D129" s="5">
        <f t="shared" si="9"/>
        <v>68.40313423912481</v>
      </c>
      <c r="E129" s="5">
        <f t="shared" si="10"/>
        <v>385.55</v>
      </c>
      <c r="F129" s="5">
        <f t="shared" si="11"/>
        <v>35371.444911173807</v>
      </c>
    </row>
    <row r="130" spans="1:6" x14ac:dyDescent="0.3">
      <c r="A130">
        <f t="shared" si="6"/>
        <v>100</v>
      </c>
      <c r="B130" s="2">
        <f t="shared" si="7"/>
        <v>49980</v>
      </c>
      <c r="C130" s="5">
        <f t="shared" si="8"/>
        <v>317.75473058691688</v>
      </c>
      <c r="D130" s="5">
        <f t="shared" si="9"/>
        <v>67.795269413083119</v>
      </c>
      <c r="E130" s="5">
        <f t="shared" si="10"/>
        <v>385.55</v>
      </c>
      <c r="F130" s="5">
        <f t="shared" si="11"/>
        <v>35053.690180586891</v>
      </c>
    </row>
    <row r="131" spans="1:6" x14ac:dyDescent="0.3">
      <c r="A131">
        <f t="shared" si="6"/>
        <v>99</v>
      </c>
      <c r="B131" s="2">
        <f t="shared" si="7"/>
        <v>50010</v>
      </c>
      <c r="C131" s="5">
        <f t="shared" si="8"/>
        <v>318.36376048720848</v>
      </c>
      <c r="D131" s="5">
        <f t="shared" si="9"/>
        <v>67.186239512791545</v>
      </c>
      <c r="E131" s="5">
        <f t="shared" si="10"/>
        <v>385.55</v>
      </c>
      <c r="F131" s="5">
        <f t="shared" si="11"/>
        <v>34735.326420099685</v>
      </c>
    </row>
    <row r="132" spans="1:6" x14ac:dyDescent="0.3">
      <c r="A132">
        <f t="shared" si="6"/>
        <v>98</v>
      </c>
      <c r="B132" s="2">
        <f t="shared" si="7"/>
        <v>50041</v>
      </c>
      <c r="C132" s="5">
        <f t="shared" si="8"/>
        <v>318.97395769480897</v>
      </c>
      <c r="D132" s="5">
        <f t="shared" si="9"/>
        <v>66.576042305191066</v>
      </c>
      <c r="E132" s="5">
        <f t="shared" si="10"/>
        <v>385.55</v>
      </c>
      <c r="F132" s="5">
        <f t="shared" si="11"/>
        <v>34416.352462404873</v>
      </c>
    </row>
    <row r="133" spans="1:6" x14ac:dyDescent="0.3">
      <c r="A133">
        <f t="shared" si="6"/>
        <v>97</v>
      </c>
      <c r="B133" s="2">
        <f t="shared" si="7"/>
        <v>50072</v>
      </c>
      <c r="C133" s="5">
        <f t="shared" si="8"/>
        <v>319.58532444705736</v>
      </c>
      <c r="D133" s="5">
        <f t="shared" si="9"/>
        <v>65.964675552942666</v>
      </c>
      <c r="E133" s="5">
        <f t="shared" si="10"/>
        <v>385.55</v>
      </c>
      <c r="F133" s="5">
        <f t="shared" si="11"/>
        <v>34096.767137957817</v>
      </c>
    </row>
    <row r="134" spans="1:6" x14ac:dyDescent="0.3">
      <c r="A134">
        <f t="shared" si="6"/>
        <v>96</v>
      </c>
      <c r="B134" s="2">
        <f t="shared" si="7"/>
        <v>50100</v>
      </c>
      <c r="C134" s="5">
        <f t="shared" si="8"/>
        <v>320.19786298558085</v>
      </c>
      <c r="D134" s="5">
        <f t="shared" si="9"/>
        <v>65.352137014419142</v>
      </c>
      <c r="E134" s="5">
        <f t="shared" si="10"/>
        <v>385.55</v>
      </c>
      <c r="F134" s="5">
        <f t="shared" si="11"/>
        <v>33776.569274972237</v>
      </c>
    </row>
    <row r="135" spans="1:6" x14ac:dyDescent="0.3">
      <c r="A135">
        <f t="shared" si="6"/>
        <v>95</v>
      </c>
      <c r="B135" s="2">
        <f t="shared" si="7"/>
        <v>50131</v>
      </c>
      <c r="C135" s="5">
        <f t="shared" si="8"/>
        <v>320.81157555630324</v>
      </c>
      <c r="D135" s="5">
        <f t="shared" si="9"/>
        <v>64.738424443696786</v>
      </c>
      <c r="E135" s="5">
        <f t="shared" si="10"/>
        <v>385.55</v>
      </c>
      <c r="F135" s="5">
        <f t="shared" si="11"/>
        <v>33455.757699415932</v>
      </c>
    </row>
    <row r="136" spans="1:6" x14ac:dyDescent="0.3">
      <c r="A136">
        <f t="shared" ref="A136:A199" si="12">A135-1</f>
        <v>94</v>
      </c>
      <c r="B136" s="2">
        <f t="shared" si="7"/>
        <v>50161</v>
      </c>
      <c r="C136" s="5">
        <f t="shared" si="8"/>
        <v>321.42646440945282</v>
      </c>
      <c r="D136" s="5">
        <f t="shared" si="9"/>
        <v>64.123535590547206</v>
      </c>
      <c r="E136" s="5">
        <f t="shared" si="10"/>
        <v>385.55</v>
      </c>
      <c r="F136" s="5">
        <f t="shared" si="11"/>
        <v>33134.331235006481</v>
      </c>
    </row>
    <row r="137" spans="1:6" x14ac:dyDescent="0.3">
      <c r="A137">
        <f t="shared" si="12"/>
        <v>93</v>
      </c>
      <c r="B137" s="2">
        <f t="shared" ref="B137:B200" si="13">EDATE(B136,1)</f>
        <v>50192</v>
      </c>
      <c r="C137" s="5">
        <f t="shared" ref="C137:C200" si="14">$C$2-D137</f>
        <v>322.04253179957095</v>
      </c>
      <c r="D137" s="5">
        <f t="shared" ref="D137:D200" si="15">F136*$B$2/12</f>
        <v>63.507468200429088</v>
      </c>
      <c r="E137" s="5">
        <f t="shared" ref="E137:E200" si="16">$C$2</f>
        <v>385.55</v>
      </c>
      <c r="F137" s="5">
        <f t="shared" ref="F137:F200" si="17">F136-C137</f>
        <v>32812.288703206912</v>
      </c>
    </row>
    <row r="138" spans="1:6" x14ac:dyDescent="0.3">
      <c r="A138">
        <f t="shared" si="12"/>
        <v>92</v>
      </c>
      <c r="B138" s="2">
        <f t="shared" si="13"/>
        <v>50222</v>
      </c>
      <c r="C138" s="5">
        <f t="shared" si="14"/>
        <v>322.65977998552012</v>
      </c>
      <c r="D138" s="5">
        <f t="shared" si="15"/>
        <v>62.890220014479915</v>
      </c>
      <c r="E138" s="5">
        <f t="shared" si="16"/>
        <v>385.55</v>
      </c>
      <c r="F138" s="5">
        <f t="shared" si="17"/>
        <v>32489.628923221393</v>
      </c>
    </row>
    <row r="139" spans="1:6" x14ac:dyDescent="0.3">
      <c r="A139">
        <f t="shared" si="12"/>
        <v>91</v>
      </c>
      <c r="B139" s="2">
        <f t="shared" si="13"/>
        <v>50253</v>
      </c>
      <c r="C139" s="5">
        <f t="shared" si="14"/>
        <v>323.27821123049233</v>
      </c>
      <c r="D139" s="5">
        <f t="shared" si="15"/>
        <v>62.271788769507673</v>
      </c>
      <c r="E139" s="5">
        <f t="shared" si="16"/>
        <v>385.55</v>
      </c>
      <c r="F139" s="5">
        <f t="shared" si="17"/>
        <v>32166.350711990901</v>
      </c>
    </row>
    <row r="140" spans="1:6" x14ac:dyDescent="0.3">
      <c r="A140">
        <f t="shared" si="12"/>
        <v>90</v>
      </c>
      <c r="B140" s="2">
        <f t="shared" si="13"/>
        <v>50284</v>
      </c>
      <c r="C140" s="5">
        <f t="shared" si="14"/>
        <v>323.89782780201745</v>
      </c>
      <c r="D140" s="5">
        <f t="shared" si="15"/>
        <v>61.652172197982559</v>
      </c>
      <c r="E140" s="5">
        <f t="shared" si="16"/>
        <v>385.55</v>
      </c>
      <c r="F140" s="5">
        <f t="shared" si="17"/>
        <v>31842.452884188882</v>
      </c>
    </row>
    <row r="141" spans="1:6" x14ac:dyDescent="0.3">
      <c r="A141">
        <f t="shared" si="12"/>
        <v>89</v>
      </c>
      <c r="B141" s="2">
        <f t="shared" si="13"/>
        <v>50314</v>
      </c>
      <c r="C141" s="5">
        <f t="shared" si="14"/>
        <v>324.51863197197133</v>
      </c>
      <c r="D141" s="5">
        <f t="shared" si="15"/>
        <v>61.031368028028687</v>
      </c>
      <c r="E141" s="5">
        <f t="shared" si="16"/>
        <v>385.55</v>
      </c>
      <c r="F141" s="5">
        <f t="shared" si="17"/>
        <v>31517.93425221691</v>
      </c>
    </row>
    <row r="142" spans="1:6" x14ac:dyDescent="0.3">
      <c r="A142">
        <f t="shared" si="12"/>
        <v>88</v>
      </c>
      <c r="B142" s="2">
        <f t="shared" si="13"/>
        <v>50345</v>
      </c>
      <c r="C142" s="5">
        <f t="shared" si="14"/>
        <v>325.14062601658429</v>
      </c>
      <c r="D142" s="5">
        <f t="shared" si="15"/>
        <v>60.409373983415747</v>
      </c>
      <c r="E142" s="5">
        <f t="shared" si="16"/>
        <v>385.55</v>
      </c>
      <c r="F142" s="5">
        <f t="shared" si="17"/>
        <v>31192.793626200324</v>
      </c>
    </row>
    <row r="143" spans="1:6" x14ac:dyDescent="0.3">
      <c r="A143">
        <f t="shared" si="12"/>
        <v>87</v>
      </c>
      <c r="B143" s="2">
        <f t="shared" si="13"/>
        <v>50375</v>
      </c>
      <c r="C143" s="5">
        <f t="shared" si="14"/>
        <v>325.76381221644942</v>
      </c>
      <c r="D143" s="5">
        <f t="shared" si="15"/>
        <v>59.786187783550616</v>
      </c>
      <c r="E143" s="5">
        <f t="shared" si="16"/>
        <v>385.55</v>
      </c>
      <c r="F143" s="5">
        <f t="shared" si="17"/>
        <v>30867.029813983874</v>
      </c>
    </row>
    <row r="144" spans="1:6" x14ac:dyDescent="0.3">
      <c r="A144">
        <f t="shared" si="12"/>
        <v>86</v>
      </c>
      <c r="B144" s="2">
        <f t="shared" si="13"/>
        <v>50406</v>
      </c>
      <c r="C144" s="5">
        <f t="shared" si="14"/>
        <v>326.38819285653091</v>
      </c>
      <c r="D144" s="5">
        <f t="shared" si="15"/>
        <v>59.161807143469098</v>
      </c>
      <c r="E144" s="5">
        <f t="shared" si="16"/>
        <v>385.55</v>
      </c>
      <c r="F144" s="5">
        <f t="shared" si="17"/>
        <v>30540.641621127343</v>
      </c>
    </row>
    <row r="145" spans="1:6" x14ac:dyDescent="0.3">
      <c r="A145">
        <f t="shared" si="12"/>
        <v>85</v>
      </c>
      <c r="B145" s="2">
        <f t="shared" si="13"/>
        <v>50437</v>
      </c>
      <c r="C145" s="5">
        <f t="shared" si="14"/>
        <v>327.0137702261726</v>
      </c>
      <c r="D145" s="5">
        <f t="shared" si="15"/>
        <v>58.536229773827408</v>
      </c>
      <c r="E145" s="5">
        <f t="shared" si="16"/>
        <v>385.55</v>
      </c>
      <c r="F145" s="5">
        <f t="shared" si="17"/>
        <v>30213.627850901172</v>
      </c>
    </row>
    <row r="146" spans="1:6" x14ac:dyDescent="0.3">
      <c r="A146">
        <f t="shared" si="12"/>
        <v>84</v>
      </c>
      <c r="B146" s="2">
        <f t="shared" si="13"/>
        <v>50465</v>
      </c>
      <c r="C146" s="5">
        <f t="shared" si="14"/>
        <v>327.64054661910609</v>
      </c>
      <c r="D146" s="5">
        <f t="shared" si="15"/>
        <v>57.909453380893915</v>
      </c>
      <c r="E146" s="5">
        <f t="shared" si="16"/>
        <v>385.55</v>
      </c>
      <c r="F146" s="5">
        <f t="shared" si="17"/>
        <v>29885.987304282065</v>
      </c>
    </row>
    <row r="147" spans="1:6" x14ac:dyDescent="0.3">
      <c r="A147">
        <f t="shared" si="12"/>
        <v>83</v>
      </c>
      <c r="B147" s="2">
        <f t="shared" si="13"/>
        <v>50496</v>
      </c>
      <c r="C147" s="5">
        <f t="shared" si="14"/>
        <v>328.26852433345937</v>
      </c>
      <c r="D147" s="5">
        <f t="shared" si="15"/>
        <v>57.281475666540622</v>
      </c>
      <c r="E147" s="5">
        <f t="shared" si="16"/>
        <v>385.55</v>
      </c>
      <c r="F147" s="5">
        <f t="shared" si="17"/>
        <v>29557.718779948606</v>
      </c>
    </row>
    <row r="148" spans="1:6" x14ac:dyDescent="0.3">
      <c r="A148">
        <f t="shared" si="12"/>
        <v>82</v>
      </c>
      <c r="B148" s="2">
        <f t="shared" si="13"/>
        <v>50526</v>
      </c>
      <c r="C148" s="5">
        <f t="shared" si="14"/>
        <v>328.89770567176515</v>
      </c>
      <c r="D148" s="5">
        <f t="shared" si="15"/>
        <v>56.652294328234831</v>
      </c>
      <c r="E148" s="5">
        <f t="shared" si="16"/>
        <v>385.55</v>
      </c>
      <c r="F148" s="5">
        <f t="shared" si="17"/>
        <v>29228.821074276839</v>
      </c>
    </row>
    <row r="149" spans="1:6" x14ac:dyDescent="0.3">
      <c r="A149">
        <f t="shared" si="12"/>
        <v>81</v>
      </c>
      <c r="B149" s="2">
        <f t="shared" si="13"/>
        <v>50557</v>
      </c>
      <c r="C149" s="5">
        <f t="shared" si="14"/>
        <v>329.52809294096937</v>
      </c>
      <c r="D149" s="5">
        <f t="shared" si="15"/>
        <v>56.02190705903061</v>
      </c>
      <c r="E149" s="5">
        <f t="shared" si="16"/>
        <v>385.55</v>
      </c>
      <c r="F149" s="5">
        <f t="shared" si="17"/>
        <v>28899.292981335868</v>
      </c>
    </row>
    <row r="150" spans="1:6" x14ac:dyDescent="0.3">
      <c r="A150">
        <f t="shared" si="12"/>
        <v>80</v>
      </c>
      <c r="B150" s="2">
        <f t="shared" si="13"/>
        <v>50587</v>
      </c>
      <c r="C150" s="5">
        <f t="shared" si="14"/>
        <v>330.15968845243958</v>
      </c>
      <c r="D150" s="5">
        <f t="shared" si="15"/>
        <v>55.390311547560408</v>
      </c>
      <c r="E150" s="5">
        <f t="shared" si="16"/>
        <v>385.55</v>
      </c>
      <c r="F150" s="5">
        <f t="shared" si="17"/>
        <v>28569.133292883427</v>
      </c>
    </row>
    <row r="151" spans="1:6" x14ac:dyDescent="0.3">
      <c r="A151">
        <f t="shared" si="12"/>
        <v>79</v>
      </c>
      <c r="B151" s="2">
        <f t="shared" si="13"/>
        <v>50618</v>
      </c>
      <c r="C151" s="5">
        <f t="shared" si="14"/>
        <v>330.79249452197342</v>
      </c>
      <c r="D151" s="5">
        <f t="shared" si="15"/>
        <v>54.757505478026566</v>
      </c>
      <c r="E151" s="5">
        <f t="shared" si="16"/>
        <v>385.55</v>
      </c>
      <c r="F151" s="5">
        <f t="shared" si="17"/>
        <v>28238.340798361452</v>
      </c>
    </row>
    <row r="152" spans="1:6" x14ac:dyDescent="0.3">
      <c r="A152">
        <f t="shared" si="12"/>
        <v>78</v>
      </c>
      <c r="B152" s="2">
        <f t="shared" si="13"/>
        <v>50649</v>
      </c>
      <c r="C152" s="5">
        <f t="shared" si="14"/>
        <v>331.42651346980722</v>
      </c>
      <c r="D152" s="5">
        <f t="shared" si="15"/>
        <v>54.123486530192785</v>
      </c>
      <c r="E152" s="5">
        <f t="shared" si="16"/>
        <v>385.55</v>
      </c>
      <c r="F152" s="5">
        <f t="shared" si="17"/>
        <v>27906.914284891645</v>
      </c>
    </row>
    <row r="153" spans="1:6" x14ac:dyDescent="0.3">
      <c r="A153">
        <f t="shared" si="12"/>
        <v>77</v>
      </c>
      <c r="B153" s="2">
        <f t="shared" si="13"/>
        <v>50679</v>
      </c>
      <c r="C153" s="5">
        <f t="shared" si="14"/>
        <v>332.06174762062437</v>
      </c>
      <c r="D153" s="5">
        <f t="shared" si="15"/>
        <v>53.488252379375659</v>
      </c>
      <c r="E153" s="5">
        <f t="shared" si="16"/>
        <v>385.55</v>
      </c>
      <c r="F153" s="5">
        <f t="shared" si="17"/>
        <v>27574.852537271021</v>
      </c>
    </row>
    <row r="154" spans="1:6" x14ac:dyDescent="0.3">
      <c r="A154">
        <f t="shared" si="12"/>
        <v>76</v>
      </c>
      <c r="B154" s="2">
        <f t="shared" si="13"/>
        <v>50710</v>
      </c>
      <c r="C154" s="5">
        <f t="shared" si="14"/>
        <v>332.69819930356391</v>
      </c>
      <c r="D154" s="5">
        <f t="shared" si="15"/>
        <v>52.851800696436122</v>
      </c>
      <c r="E154" s="5">
        <f t="shared" si="16"/>
        <v>385.55</v>
      </c>
      <c r="F154" s="5">
        <f t="shared" si="17"/>
        <v>27242.154337967459</v>
      </c>
    </row>
    <row r="155" spans="1:6" x14ac:dyDescent="0.3">
      <c r="A155">
        <f t="shared" si="12"/>
        <v>75</v>
      </c>
      <c r="B155" s="2">
        <f t="shared" si="13"/>
        <v>50740</v>
      </c>
      <c r="C155" s="5">
        <f t="shared" si="14"/>
        <v>333.33587085222905</v>
      </c>
      <c r="D155" s="5">
        <f t="shared" si="15"/>
        <v>52.214129147770961</v>
      </c>
      <c r="E155" s="5">
        <f t="shared" si="16"/>
        <v>385.55</v>
      </c>
      <c r="F155" s="5">
        <f t="shared" si="17"/>
        <v>26908.81846711523</v>
      </c>
    </row>
    <row r="156" spans="1:6" x14ac:dyDescent="0.3">
      <c r="A156">
        <f t="shared" si="12"/>
        <v>74</v>
      </c>
      <c r="B156" s="2">
        <f t="shared" si="13"/>
        <v>50771</v>
      </c>
      <c r="C156" s="5">
        <f t="shared" si="14"/>
        <v>333.97476460469579</v>
      </c>
      <c r="D156" s="5">
        <f t="shared" si="15"/>
        <v>51.57523539530419</v>
      </c>
      <c r="E156" s="5">
        <f t="shared" si="16"/>
        <v>385.55</v>
      </c>
      <c r="F156" s="5">
        <f t="shared" si="17"/>
        <v>26574.843702510534</v>
      </c>
    </row>
    <row r="157" spans="1:6" x14ac:dyDescent="0.3">
      <c r="A157">
        <f t="shared" si="12"/>
        <v>73</v>
      </c>
      <c r="B157" s="2">
        <f t="shared" si="13"/>
        <v>50802</v>
      </c>
      <c r="C157" s="5">
        <f t="shared" si="14"/>
        <v>334.6148829035215</v>
      </c>
      <c r="D157" s="5">
        <f t="shared" si="15"/>
        <v>50.935117096478528</v>
      </c>
      <c r="E157" s="5">
        <f t="shared" si="16"/>
        <v>385.55</v>
      </c>
      <c r="F157" s="5">
        <f t="shared" si="17"/>
        <v>26240.228819607011</v>
      </c>
    </row>
    <row r="158" spans="1:6" x14ac:dyDescent="0.3">
      <c r="A158">
        <f t="shared" si="12"/>
        <v>72</v>
      </c>
      <c r="B158" s="2">
        <f t="shared" si="13"/>
        <v>50830</v>
      </c>
      <c r="C158" s="5">
        <f t="shared" si="14"/>
        <v>335.25622809575327</v>
      </c>
      <c r="D158" s="5">
        <f t="shared" si="15"/>
        <v>50.293771904246768</v>
      </c>
      <c r="E158" s="5">
        <f t="shared" si="16"/>
        <v>385.55</v>
      </c>
      <c r="F158" s="5">
        <f t="shared" si="17"/>
        <v>25904.972591511258</v>
      </c>
    </row>
    <row r="159" spans="1:6" x14ac:dyDescent="0.3">
      <c r="A159">
        <f t="shared" si="12"/>
        <v>71</v>
      </c>
      <c r="B159" s="2">
        <f t="shared" si="13"/>
        <v>50861</v>
      </c>
      <c r="C159" s="5">
        <f t="shared" si="14"/>
        <v>335.89880253293677</v>
      </c>
      <c r="D159" s="5">
        <f t="shared" si="15"/>
        <v>49.651197467063241</v>
      </c>
      <c r="E159" s="5">
        <f t="shared" si="16"/>
        <v>385.55</v>
      </c>
      <c r="F159" s="5">
        <f t="shared" si="17"/>
        <v>25569.073788978319</v>
      </c>
    </row>
    <row r="160" spans="1:6" x14ac:dyDescent="0.3">
      <c r="A160">
        <f t="shared" si="12"/>
        <v>70</v>
      </c>
      <c r="B160" s="2">
        <f t="shared" si="13"/>
        <v>50891</v>
      </c>
      <c r="C160" s="5">
        <f t="shared" si="14"/>
        <v>336.5426085711249</v>
      </c>
      <c r="D160" s="5">
        <f t="shared" si="15"/>
        <v>49.00739142887511</v>
      </c>
      <c r="E160" s="5">
        <f t="shared" si="16"/>
        <v>385.55</v>
      </c>
      <c r="F160" s="5">
        <f t="shared" si="17"/>
        <v>25232.531180407193</v>
      </c>
    </row>
    <row r="161" spans="1:6" x14ac:dyDescent="0.3">
      <c r="A161">
        <f t="shared" si="12"/>
        <v>69</v>
      </c>
      <c r="B161" s="2">
        <f t="shared" si="13"/>
        <v>50922</v>
      </c>
      <c r="C161" s="5">
        <f t="shared" si="14"/>
        <v>337.18764857088621</v>
      </c>
      <c r="D161" s="5">
        <f t="shared" si="15"/>
        <v>48.362351429113794</v>
      </c>
      <c r="E161" s="5">
        <f t="shared" si="16"/>
        <v>385.55</v>
      </c>
      <c r="F161" s="5">
        <f t="shared" si="17"/>
        <v>24895.343531836308</v>
      </c>
    </row>
    <row r="162" spans="1:6" x14ac:dyDescent="0.3">
      <c r="A162">
        <f t="shared" si="12"/>
        <v>68</v>
      </c>
      <c r="B162" s="2">
        <f t="shared" si="13"/>
        <v>50952</v>
      </c>
      <c r="C162" s="5">
        <f t="shared" si="14"/>
        <v>337.83392489731375</v>
      </c>
      <c r="D162" s="5">
        <f t="shared" si="15"/>
        <v>47.716075102686254</v>
      </c>
      <c r="E162" s="5">
        <f t="shared" si="16"/>
        <v>385.55</v>
      </c>
      <c r="F162" s="5">
        <f t="shared" si="17"/>
        <v>24557.509606938995</v>
      </c>
    </row>
    <row r="163" spans="1:6" x14ac:dyDescent="0.3">
      <c r="A163">
        <f t="shared" si="12"/>
        <v>67</v>
      </c>
      <c r="B163" s="2">
        <f t="shared" si="13"/>
        <v>50983</v>
      </c>
      <c r="C163" s="5">
        <f t="shared" si="14"/>
        <v>338.48143992003361</v>
      </c>
      <c r="D163" s="5">
        <f t="shared" si="15"/>
        <v>47.068560079966403</v>
      </c>
      <c r="E163" s="5">
        <f t="shared" si="16"/>
        <v>385.55</v>
      </c>
      <c r="F163" s="5">
        <f t="shared" si="17"/>
        <v>24219.028167018962</v>
      </c>
    </row>
    <row r="164" spans="1:6" x14ac:dyDescent="0.3">
      <c r="A164">
        <f t="shared" si="12"/>
        <v>66</v>
      </c>
      <c r="B164" s="2">
        <f t="shared" si="13"/>
        <v>51014</v>
      </c>
      <c r="C164" s="5">
        <f t="shared" si="14"/>
        <v>339.13019601321366</v>
      </c>
      <c r="D164" s="5">
        <f t="shared" si="15"/>
        <v>46.419803986786341</v>
      </c>
      <c r="E164" s="5">
        <f t="shared" si="16"/>
        <v>385.55</v>
      </c>
      <c r="F164" s="5">
        <f t="shared" si="17"/>
        <v>23879.897971005747</v>
      </c>
    </row>
    <row r="165" spans="1:6" x14ac:dyDescent="0.3">
      <c r="A165">
        <f t="shared" si="12"/>
        <v>65</v>
      </c>
      <c r="B165" s="2">
        <f t="shared" si="13"/>
        <v>51044</v>
      </c>
      <c r="C165" s="5">
        <f t="shared" si="14"/>
        <v>339.78019555557233</v>
      </c>
      <c r="D165" s="5">
        <f t="shared" si="15"/>
        <v>45.769804444427677</v>
      </c>
      <c r="E165" s="5">
        <f t="shared" si="16"/>
        <v>385.55</v>
      </c>
      <c r="F165" s="5">
        <f t="shared" si="17"/>
        <v>23540.117775450173</v>
      </c>
    </row>
    <row r="166" spans="1:6" x14ac:dyDescent="0.3">
      <c r="A166">
        <f t="shared" si="12"/>
        <v>64</v>
      </c>
      <c r="B166" s="2">
        <f t="shared" si="13"/>
        <v>51075</v>
      </c>
      <c r="C166" s="5">
        <f t="shared" si="14"/>
        <v>340.43144093038717</v>
      </c>
      <c r="D166" s="5">
        <f t="shared" si="15"/>
        <v>45.118559069612836</v>
      </c>
      <c r="E166" s="5">
        <f t="shared" si="16"/>
        <v>385.55</v>
      </c>
      <c r="F166" s="5">
        <f t="shared" si="17"/>
        <v>23199.686334519785</v>
      </c>
    </row>
    <row r="167" spans="1:6" x14ac:dyDescent="0.3">
      <c r="A167">
        <f t="shared" si="12"/>
        <v>63</v>
      </c>
      <c r="B167" s="2">
        <f t="shared" si="13"/>
        <v>51105</v>
      </c>
      <c r="C167" s="5">
        <f t="shared" si="14"/>
        <v>341.08393452550376</v>
      </c>
      <c r="D167" s="5">
        <f t="shared" si="15"/>
        <v>44.466065474496254</v>
      </c>
      <c r="E167" s="5">
        <f t="shared" si="16"/>
        <v>385.55</v>
      </c>
      <c r="F167" s="5">
        <f t="shared" si="17"/>
        <v>22858.602399994281</v>
      </c>
    </row>
    <row r="168" spans="1:6" x14ac:dyDescent="0.3">
      <c r="A168">
        <f t="shared" si="12"/>
        <v>62</v>
      </c>
      <c r="B168" s="2">
        <f t="shared" si="13"/>
        <v>51136</v>
      </c>
      <c r="C168" s="5">
        <f t="shared" si="14"/>
        <v>341.7376787333443</v>
      </c>
      <c r="D168" s="5">
        <f t="shared" si="15"/>
        <v>43.812321266655708</v>
      </c>
      <c r="E168" s="5">
        <f t="shared" si="16"/>
        <v>385.55</v>
      </c>
      <c r="F168" s="5">
        <f t="shared" si="17"/>
        <v>22516.864721260936</v>
      </c>
    </row>
    <row r="169" spans="1:6" x14ac:dyDescent="0.3">
      <c r="A169">
        <f t="shared" si="12"/>
        <v>61</v>
      </c>
      <c r="B169" s="2">
        <f t="shared" si="13"/>
        <v>51167</v>
      </c>
      <c r="C169" s="5">
        <f t="shared" si="14"/>
        <v>342.39267595091655</v>
      </c>
      <c r="D169" s="5">
        <f t="shared" si="15"/>
        <v>43.157324049083456</v>
      </c>
      <c r="E169" s="5">
        <f t="shared" si="16"/>
        <v>385.55</v>
      </c>
      <c r="F169" s="5">
        <f t="shared" si="17"/>
        <v>22174.47204531002</v>
      </c>
    </row>
    <row r="170" spans="1:6" x14ac:dyDescent="0.3">
      <c r="A170">
        <f t="shared" si="12"/>
        <v>60</v>
      </c>
      <c r="B170" s="2">
        <f t="shared" si="13"/>
        <v>51196</v>
      </c>
      <c r="C170" s="5">
        <f t="shared" si="14"/>
        <v>343.04892857982247</v>
      </c>
      <c r="D170" s="5">
        <f t="shared" si="15"/>
        <v>42.501071420177539</v>
      </c>
      <c r="E170" s="5">
        <f t="shared" si="16"/>
        <v>385.55</v>
      </c>
      <c r="F170" s="5">
        <f t="shared" si="17"/>
        <v>21831.423116730199</v>
      </c>
    </row>
    <row r="171" spans="1:6" x14ac:dyDescent="0.3">
      <c r="A171">
        <f t="shared" si="12"/>
        <v>59</v>
      </c>
      <c r="B171" s="2">
        <f t="shared" si="13"/>
        <v>51227</v>
      </c>
      <c r="C171" s="5">
        <f t="shared" si="14"/>
        <v>343.70643902626711</v>
      </c>
      <c r="D171" s="5">
        <f t="shared" si="15"/>
        <v>41.843560973732885</v>
      </c>
      <c r="E171" s="5">
        <f t="shared" si="16"/>
        <v>385.55</v>
      </c>
      <c r="F171" s="5">
        <f t="shared" si="17"/>
        <v>21487.716677703931</v>
      </c>
    </row>
    <row r="172" spans="1:6" x14ac:dyDescent="0.3">
      <c r="A172">
        <f t="shared" si="12"/>
        <v>58</v>
      </c>
      <c r="B172" s="2">
        <f t="shared" si="13"/>
        <v>51257</v>
      </c>
      <c r="C172" s="5">
        <f t="shared" si="14"/>
        <v>344.3652097010675</v>
      </c>
      <c r="D172" s="5">
        <f t="shared" si="15"/>
        <v>41.184790298932533</v>
      </c>
      <c r="E172" s="5">
        <f t="shared" si="16"/>
        <v>385.55</v>
      </c>
      <c r="F172" s="5">
        <f t="shared" si="17"/>
        <v>21143.351468002864</v>
      </c>
    </row>
    <row r="173" spans="1:6" x14ac:dyDescent="0.3">
      <c r="A173">
        <f t="shared" si="12"/>
        <v>57</v>
      </c>
      <c r="B173" s="2">
        <f t="shared" si="13"/>
        <v>51288</v>
      </c>
      <c r="C173" s="5">
        <f t="shared" si="14"/>
        <v>345.02524301966116</v>
      </c>
      <c r="D173" s="5">
        <f t="shared" si="15"/>
        <v>40.524756980338822</v>
      </c>
      <c r="E173" s="5">
        <f t="shared" si="16"/>
        <v>385.55</v>
      </c>
      <c r="F173" s="5">
        <f t="shared" si="17"/>
        <v>20798.326224983204</v>
      </c>
    </row>
    <row r="174" spans="1:6" x14ac:dyDescent="0.3">
      <c r="A174">
        <f t="shared" si="12"/>
        <v>56</v>
      </c>
      <c r="B174" s="2">
        <f t="shared" si="13"/>
        <v>51318</v>
      </c>
      <c r="C174" s="5">
        <f t="shared" si="14"/>
        <v>345.68654140211555</v>
      </c>
      <c r="D174" s="5">
        <f t="shared" si="15"/>
        <v>39.863458597884474</v>
      </c>
      <c r="E174" s="5">
        <f t="shared" si="16"/>
        <v>385.55</v>
      </c>
      <c r="F174" s="5">
        <f t="shared" si="17"/>
        <v>20452.639683581088</v>
      </c>
    </row>
    <row r="175" spans="1:6" x14ac:dyDescent="0.3">
      <c r="A175">
        <f t="shared" si="12"/>
        <v>55</v>
      </c>
      <c r="B175" s="2">
        <f t="shared" si="13"/>
        <v>51349</v>
      </c>
      <c r="C175" s="5">
        <f t="shared" si="14"/>
        <v>346.34910727313627</v>
      </c>
      <c r="D175" s="5">
        <f t="shared" si="15"/>
        <v>39.200892726863749</v>
      </c>
      <c r="E175" s="5">
        <f t="shared" si="16"/>
        <v>385.55</v>
      </c>
      <c r="F175" s="5">
        <f t="shared" si="17"/>
        <v>20106.290576307951</v>
      </c>
    </row>
    <row r="176" spans="1:6" x14ac:dyDescent="0.3">
      <c r="A176">
        <f t="shared" si="12"/>
        <v>54</v>
      </c>
      <c r="B176" s="2">
        <f t="shared" si="13"/>
        <v>51380</v>
      </c>
      <c r="C176" s="5">
        <f t="shared" si="14"/>
        <v>347.01294306207643</v>
      </c>
      <c r="D176" s="5">
        <f t="shared" si="15"/>
        <v>38.537056937923573</v>
      </c>
      <c r="E176" s="5">
        <f t="shared" si="16"/>
        <v>385.55</v>
      </c>
      <c r="F176" s="5">
        <f t="shared" si="17"/>
        <v>19759.277633245874</v>
      </c>
    </row>
    <row r="177" spans="1:6" x14ac:dyDescent="0.3">
      <c r="A177">
        <f t="shared" si="12"/>
        <v>53</v>
      </c>
      <c r="B177" s="2">
        <f t="shared" si="13"/>
        <v>51410</v>
      </c>
      <c r="C177" s="5">
        <f t="shared" si="14"/>
        <v>347.67805120294543</v>
      </c>
      <c r="D177" s="5">
        <f t="shared" si="15"/>
        <v>37.871948797054593</v>
      </c>
      <c r="E177" s="5">
        <f t="shared" si="16"/>
        <v>385.55</v>
      </c>
      <c r="F177" s="5">
        <f t="shared" si="17"/>
        <v>19411.599582042931</v>
      </c>
    </row>
    <row r="178" spans="1:6" x14ac:dyDescent="0.3">
      <c r="A178">
        <f t="shared" si="12"/>
        <v>52</v>
      </c>
      <c r="B178" s="2">
        <f t="shared" si="13"/>
        <v>51441</v>
      </c>
      <c r="C178" s="5">
        <f t="shared" si="14"/>
        <v>348.34443413441772</v>
      </c>
      <c r="D178" s="5">
        <f t="shared" si="15"/>
        <v>37.20556586558228</v>
      </c>
      <c r="E178" s="5">
        <f t="shared" si="16"/>
        <v>385.55</v>
      </c>
      <c r="F178" s="5">
        <f t="shared" si="17"/>
        <v>19063.255147908512</v>
      </c>
    </row>
    <row r="179" spans="1:6" x14ac:dyDescent="0.3">
      <c r="A179">
        <f t="shared" si="12"/>
        <v>51</v>
      </c>
      <c r="B179" s="2">
        <f t="shared" si="13"/>
        <v>51471</v>
      </c>
      <c r="C179" s="5">
        <f t="shared" si="14"/>
        <v>349.01209429984203</v>
      </c>
      <c r="D179" s="5">
        <f t="shared" si="15"/>
        <v>36.537905700157985</v>
      </c>
      <c r="E179" s="5">
        <f t="shared" si="16"/>
        <v>385.55</v>
      </c>
      <c r="F179" s="5">
        <f t="shared" si="17"/>
        <v>18714.243053608669</v>
      </c>
    </row>
    <row r="180" spans="1:6" x14ac:dyDescent="0.3">
      <c r="A180">
        <f t="shared" si="12"/>
        <v>50</v>
      </c>
      <c r="B180" s="2">
        <f t="shared" si="13"/>
        <v>51502</v>
      </c>
      <c r="C180" s="5">
        <f t="shared" si="14"/>
        <v>349.68103414725005</v>
      </c>
      <c r="D180" s="5">
        <f t="shared" si="15"/>
        <v>35.868965852749945</v>
      </c>
      <c r="E180" s="5">
        <f t="shared" si="16"/>
        <v>385.55</v>
      </c>
      <c r="F180" s="5">
        <f t="shared" si="17"/>
        <v>18364.56201946142</v>
      </c>
    </row>
    <row r="181" spans="1:6" x14ac:dyDescent="0.3">
      <c r="A181">
        <f t="shared" si="12"/>
        <v>49</v>
      </c>
      <c r="B181" s="2">
        <f t="shared" si="13"/>
        <v>51533</v>
      </c>
      <c r="C181" s="5">
        <f t="shared" si="14"/>
        <v>350.35125612936565</v>
      </c>
      <c r="D181" s="5">
        <f t="shared" si="15"/>
        <v>35.198743870634388</v>
      </c>
      <c r="E181" s="5">
        <f t="shared" si="16"/>
        <v>385.55</v>
      </c>
      <c r="F181" s="5">
        <f t="shared" si="17"/>
        <v>18014.210763332056</v>
      </c>
    </row>
    <row r="182" spans="1:6" x14ac:dyDescent="0.3">
      <c r="A182">
        <f t="shared" si="12"/>
        <v>48</v>
      </c>
      <c r="B182" s="2">
        <f t="shared" si="13"/>
        <v>51561</v>
      </c>
      <c r="C182" s="5">
        <f t="shared" si="14"/>
        <v>351.02276270361358</v>
      </c>
      <c r="D182" s="5">
        <f t="shared" si="15"/>
        <v>34.527237296386438</v>
      </c>
      <c r="E182" s="5">
        <f t="shared" si="16"/>
        <v>385.55</v>
      </c>
      <c r="F182" s="5">
        <f t="shared" si="17"/>
        <v>17663.188000628441</v>
      </c>
    </row>
    <row r="183" spans="1:6" x14ac:dyDescent="0.3">
      <c r="A183">
        <f t="shared" si="12"/>
        <v>47</v>
      </c>
      <c r="B183" s="2">
        <f t="shared" si="13"/>
        <v>51592</v>
      </c>
      <c r="C183" s="5">
        <f t="shared" si="14"/>
        <v>351.69555633212883</v>
      </c>
      <c r="D183" s="5">
        <f t="shared" si="15"/>
        <v>33.854443667871173</v>
      </c>
      <c r="E183" s="5">
        <f t="shared" si="16"/>
        <v>385.55</v>
      </c>
      <c r="F183" s="5">
        <f t="shared" si="17"/>
        <v>17311.492444296313</v>
      </c>
    </row>
    <row r="184" spans="1:6" x14ac:dyDescent="0.3">
      <c r="A184">
        <f t="shared" si="12"/>
        <v>46</v>
      </c>
      <c r="B184" s="2">
        <f t="shared" si="13"/>
        <v>51622</v>
      </c>
      <c r="C184" s="5">
        <f t="shared" si="14"/>
        <v>352.36963948176543</v>
      </c>
      <c r="D184" s="5">
        <f t="shared" si="15"/>
        <v>33.1803605182346</v>
      </c>
      <c r="E184" s="5">
        <f t="shared" si="16"/>
        <v>385.55</v>
      </c>
      <c r="F184" s="5">
        <f t="shared" si="17"/>
        <v>16959.122804814546</v>
      </c>
    </row>
    <row r="185" spans="1:6" x14ac:dyDescent="0.3">
      <c r="A185">
        <f t="shared" si="12"/>
        <v>45</v>
      </c>
      <c r="B185" s="2">
        <f t="shared" si="13"/>
        <v>51653</v>
      </c>
      <c r="C185" s="5">
        <f t="shared" si="14"/>
        <v>353.04501462410548</v>
      </c>
      <c r="D185" s="5">
        <f t="shared" si="15"/>
        <v>32.504985375894542</v>
      </c>
      <c r="E185" s="5">
        <f t="shared" si="16"/>
        <v>385.55</v>
      </c>
      <c r="F185" s="5">
        <f t="shared" si="17"/>
        <v>16606.07779019044</v>
      </c>
    </row>
    <row r="186" spans="1:6" x14ac:dyDescent="0.3">
      <c r="A186">
        <f t="shared" si="12"/>
        <v>44</v>
      </c>
      <c r="B186" s="2">
        <f t="shared" si="13"/>
        <v>51683</v>
      </c>
      <c r="C186" s="5">
        <f t="shared" si="14"/>
        <v>353.72168423546833</v>
      </c>
      <c r="D186" s="5">
        <f t="shared" si="15"/>
        <v>31.828315764531677</v>
      </c>
      <c r="E186" s="5">
        <f t="shared" si="16"/>
        <v>385.55</v>
      </c>
      <c r="F186" s="5">
        <f t="shared" si="17"/>
        <v>16252.356105954972</v>
      </c>
    </row>
    <row r="187" spans="1:6" x14ac:dyDescent="0.3">
      <c r="A187">
        <f t="shared" si="12"/>
        <v>43</v>
      </c>
      <c r="B187" s="2">
        <f t="shared" si="13"/>
        <v>51714</v>
      </c>
      <c r="C187" s="5">
        <f t="shared" si="14"/>
        <v>354.39965079691967</v>
      </c>
      <c r="D187" s="5">
        <f t="shared" si="15"/>
        <v>31.150349203080363</v>
      </c>
      <c r="E187" s="5">
        <f t="shared" si="16"/>
        <v>385.55</v>
      </c>
      <c r="F187" s="5">
        <f t="shared" si="17"/>
        <v>15897.956455158052</v>
      </c>
    </row>
    <row r="188" spans="1:6" x14ac:dyDescent="0.3">
      <c r="A188">
        <f t="shared" si="12"/>
        <v>42</v>
      </c>
      <c r="B188" s="2">
        <f t="shared" si="13"/>
        <v>51745</v>
      </c>
      <c r="C188" s="5">
        <f t="shared" si="14"/>
        <v>355.07891679428042</v>
      </c>
      <c r="D188" s="5">
        <f t="shared" si="15"/>
        <v>30.471083205719598</v>
      </c>
      <c r="E188" s="5">
        <f t="shared" si="16"/>
        <v>385.55</v>
      </c>
      <c r="F188" s="5">
        <f t="shared" si="17"/>
        <v>15542.877538363771</v>
      </c>
    </row>
    <row r="189" spans="1:6" x14ac:dyDescent="0.3">
      <c r="A189">
        <f t="shared" si="12"/>
        <v>41</v>
      </c>
      <c r="B189" s="2">
        <f t="shared" si="13"/>
        <v>51775</v>
      </c>
      <c r="C189" s="5">
        <f t="shared" si="14"/>
        <v>355.75948471813609</v>
      </c>
      <c r="D189" s="5">
        <f t="shared" si="15"/>
        <v>29.790515281863893</v>
      </c>
      <c r="E189" s="5">
        <f t="shared" si="16"/>
        <v>385.55</v>
      </c>
      <c r="F189" s="5">
        <f t="shared" si="17"/>
        <v>15187.118053645636</v>
      </c>
    </row>
    <row r="190" spans="1:6" x14ac:dyDescent="0.3">
      <c r="A190">
        <f t="shared" si="12"/>
        <v>40</v>
      </c>
      <c r="B190" s="2">
        <f t="shared" si="13"/>
        <v>51806</v>
      </c>
      <c r="C190" s="5">
        <f t="shared" si="14"/>
        <v>356.44135706384589</v>
      </c>
      <c r="D190" s="5">
        <f t="shared" si="15"/>
        <v>29.108642936154137</v>
      </c>
      <c r="E190" s="5">
        <f t="shared" si="16"/>
        <v>385.55</v>
      </c>
      <c r="F190" s="5">
        <f t="shared" si="17"/>
        <v>14830.67669658179</v>
      </c>
    </row>
    <row r="191" spans="1:6" x14ac:dyDescent="0.3">
      <c r="A191">
        <f t="shared" si="12"/>
        <v>39</v>
      </c>
      <c r="B191" s="2">
        <f t="shared" si="13"/>
        <v>51836</v>
      </c>
      <c r="C191" s="5">
        <f t="shared" si="14"/>
        <v>357.12453633155155</v>
      </c>
      <c r="D191" s="5">
        <f t="shared" si="15"/>
        <v>28.42546366844843</v>
      </c>
      <c r="E191" s="5">
        <f t="shared" si="16"/>
        <v>385.55</v>
      </c>
      <c r="F191" s="5">
        <f t="shared" si="17"/>
        <v>14473.552160250238</v>
      </c>
    </row>
    <row r="192" spans="1:6" x14ac:dyDescent="0.3">
      <c r="A192">
        <f t="shared" si="12"/>
        <v>38</v>
      </c>
      <c r="B192" s="2">
        <f t="shared" si="13"/>
        <v>51867</v>
      </c>
      <c r="C192" s="5">
        <f t="shared" si="14"/>
        <v>357.80902502618704</v>
      </c>
      <c r="D192" s="5">
        <f t="shared" si="15"/>
        <v>27.740974973812953</v>
      </c>
      <c r="E192" s="5">
        <f t="shared" si="16"/>
        <v>385.55</v>
      </c>
      <c r="F192" s="5">
        <f t="shared" si="17"/>
        <v>14115.743135224051</v>
      </c>
    </row>
    <row r="193" spans="1:6" x14ac:dyDescent="0.3">
      <c r="A193">
        <f t="shared" si="12"/>
        <v>37</v>
      </c>
      <c r="B193" s="2">
        <f t="shared" si="13"/>
        <v>51898</v>
      </c>
      <c r="C193" s="5">
        <f t="shared" si="14"/>
        <v>358.49482565748724</v>
      </c>
      <c r="D193" s="5">
        <f t="shared" si="15"/>
        <v>27.05517434251276</v>
      </c>
      <c r="E193" s="5">
        <f t="shared" si="16"/>
        <v>385.55</v>
      </c>
      <c r="F193" s="5">
        <f t="shared" si="17"/>
        <v>13757.248309566563</v>
      </c>
    </row>
    <row r="194" spans="1:6" x14ac:dyDescent="0.3">
      <c r="A194">
        <f t="shared" si="12"/>
        <v>36</v>
      </c>
      <c r="B194" s="2">
        <f t="shared" si="13"/>
        <v>51926</v>
      </c>
      <c r="C194" s="5">
        <f t="shared" si="14"/>
        <v>359.18194073999746</v>
      </c>
      <c r="D194" s="5">
        <f t="shared" si="15"/>
        <v>26.368059260002578</v>
      </c>
      <c r="E194" s="5">
        <f t="shared" si="16"/>
        <v>385.55</v>
      </c>
      <c r="F194" s="5">
        <f t="shared" si="17"/>
        <v>13398.066368826565</v>
      </c>
    </row>
    <row r="195" spans="1:6" x14ac:dyDescent="0.3">
      <c r="A195">
        <f t="shared" si="12"/>
        <v>35</v>
      </c>
      <c r="B195" s="2">
        <f t="shared" si="13"/>
        <v>51957</v>
      </c>
      <c r="C195" s="5">
        <f t="shared" si="14"/>
        <v>359.87037279308242</v>
      </c>
      <c r="D195" s="5">
        <f t="shared" si="15"/>
        <v>25.679627206917583</v>
      </c>
      <c r="E195" s="5">
        <f t="shared" si="16"/>
        <v>385.55</v>
      </c>
      <c r="F195" s="5">
        <f t="shared" si="17"/>
        <v>13038.195996033483</v>
      </c>
    </row>
    <row r="196" spans="1:6" x14ac:dyDescent="0.3">
      <c r="A196">
        <f t="shared" si="12"/>
        <v>34</v>
      </c>
      <c r="B196" s="2">
        <f t="shared" si="13"/>
        <v>51987</v>
      </c>
      <c r="C196" s="5">
        <f t="shared" si="14"/>
        <v>360.56012434093583</v>
      </c>
      <c r="D196" s="5">
        <f t="shared" si="15"/>
        <v>24.989875659064172</v>
      </c>
      <c r="E196" s="5">
        <f t="shared" si="16"/>
        <v>385.55</v>
      </c>
      <c r="F196" s="5">
        <f t="shared" si="17"/>
        <v>12677.635871692546</v>
      </c>
    </row>
    <row r="197" spans="1:6" x14ac:dyDescent="0.3">
      <c r="A197">
        <f t="shared" si="12"/>
        <v>33</v>
      </c>
      <c r="B197" s="2">
        <f t="shared" si="13"/>
        <v>52018</v>
      </c>
      <c r="C197" s="5">
        <f t="shared" si="14"/>
        <v>361.2511979125893</v>
      </c>
      <c r="D197" s="5">
        <f t="shared" si="15"/>
        <v>24.29880208741071</v>
      </c>
      <c r="E197" s="5">
        <f t="shared" si="16"/>
        <v>385.55</v>
      </c>
      <c r="F197" s="5">
        <f t="shared" si="17"/>
        <v>12316.384673779958</v>
      </c>
    </row>
    <row r="198" spans="1:6" x14ac:dyDescent="0.3">
      <c r="A198">
        <f t="shared" si="12"/>
        <v>32</v>
      </c>
      <c r="B198" s="2">
        <f t="shared" si="13"/>
        <v>52048</v>
      </c>
      <c r="C198" s="5">
        <f t="shared" si="14"/>
        <v>361.94359604192175</v>
      </c>
      <c r="D198" s="5">
        <f t="shared" si="15"/>
        <v>23.60640395807825</v>
      </c>
      <c r="E198" s="5">
        <f t="shared" si="16"/>
        <v>385.55</v>
      </c>
      <c r="F198" s="5">
        <f t="shared" si="17"/>
        <v>11954.441077738036</v>
      </c>
    </row>
    <row r="199" spans="1:6" x14ac:dyDescent="0.3">
      <c r="A199">
        <f t="shared" si="12"/>
        <v>31</v>
      </c>
      <c r="B199" s="2">
        <f t="shared" si="13"/>
        <v>52079</v>
      </c>
      <c r="C199" s="5">
        <f t="shared" si="14"/>
        <v>362.63732126766877</v>
      </c>
      <c r="D199" s="5">
        <f t="shared" si="15"/>
        <v>22.912678732331234</v>
      </c>
      <c r="E199" s="5">
        <f t="shared" si="16"/>
        <v>385.55</v>
      </c>
      <c r="F199" s="5">
        <f t="shared" si="17"/>
        <v>11591.803756470368</v>
      </c>
    </row>
    <row r="200" spans="1:6" x14ac:dyDescent="0.3">
      <c r="A200">
        <f t="shared" ref="A200:A230" si="18">A199-1</f>
        <v>30</v>
      </c>
      <c r="B200" s="2">
        <f t="shared" si="13"/>
        <v>52110</v>
      </c>
      <c r="C200" s="5">
        <f t="shared" si="14"/>
        <v>363.33237613343181</v>
      </c>
      <c r="D200" s="5">
        <f t="shared" si="15"/>
        <v>22.217623866568204</v>
      </c>
      <c r="E200" s="5">
        <f t="shared" si="16"/>
        <v>385.55</v>
      </c>
      <c r="F200" s="5">
        <f t="shared" si="17"/>
        <v>11228.471380336936</v>
      </c>
    </row>
    <row r="201" spans="1:6" x14ac:dyDescent="0.3">
      <c r="A201">
        <f t="shared" si="18"/>
        <v>29</v>
      </c>
      <c r="B201" s="2">
        <f t="shared" ref="B201:B230" si="19">EDATE(B200,1)</f>
        <v>52140</v>
      </c>
      <c r="C201" s="5">
        <f t="shared" ref="C201:C230" si="20">$C$2-D201</f>
        <v>364.02876318768756</v>
      </c>
      <c r="D201" s="5">
        <f t="shared" ref="D201:D230" si="21">F200*$B$2/12</f>
        <v>21.521236812312463</v>
      </c>
      <c r="E201" s="5">
        <f t="shared" ref="E201:E230" si="22">$C$2</f>
        <v>385.55</v>
      </c>
      <c r="F201" s="5">
        <f t="shared" ref="F201:F230" si="23">F200-C201</f>
        <v>10864.442617149249</v>
      </c>
    </row>
    <row r="202" spans="1:6" x14ac:dyDescent="0.3">
      <c r="A202">
        <f t="shared" si="18"/>
        <v>28</v>
      </c>
      <c r="B202" s="2">
        <f t="shared" si="19"/>
        <v>52171</v>
      </c>
      <c r="C202" s="5">
        <f t="shared" si="20"/>
        <v>364.72648498379726</v>
      </c>
      <c r="D202" s="5">
        <f t="shared" si="21"/>
        <v>20.823515016202727</v>
      </c>
      <c r="E202" s="5">
        <f t="shared" si="22"/>
        <v>385.55</v>
      </c>
      <c r="F202" s="5">
        <f t="shared" si="23"/>
        <v>10499.716132165451</v>
      </c>
    </row>
    <row r="203" spans="1:6" x14ac:dyDescent="0.3">
      <c r="A203">
        <f t="shared" si="18"/>
        <v>27</v>
      </c>
      <c r="B203" s="2">
        <f t="shared" si="19"/>
        <v>52201</v>
      </c>
      <c r="C203" s="5">
        <f t="shared" si="20"/>
        <v>365.42554408001621</v>
      </c>
      <c r="D203" s="5">
        <f t="shared" si="21"/>
        <v>20.124455919983781</v>
      </c>
      <c r="E203" s="5">
        <f t="shared" si="22"/>
        <v>385.55</v>
      </c>
      <c r="F203" s="5">
        <f t="shared" si="23"/>
        <v>10134.290588085434</v>
      </c>
    </row>
    <row r="204" spans="1:6" x14ac:dyDescent="0.3">
      <c r="A204">
        <f t="shared" si="18"/>
        <v>26</v>
      </c>
      <c r="B204" s="2">
        <f t="shared" si="19"/>
        <v>52232</v>
      </c>
      <c r="C204" s="5">
        <f t="shared" si="20"/>
        <v>366.12594303950294</v>
      </c>
      <c r="D204" s="5">
        <f t="shared" si="21"/>
        <v>19.424056960497079</v>
      </c>
      <c r="E204" s="5">
        <f t="shared" si="22"/>
        <v>385.55</v>
      </c>
      <c r="F204" s="5">
        <f t="shared" si="23"/>
        <v>9768.164645045932</v>
      </c>
    </row>
    <row r="205" spans="1:6" x14ac:dyDescent="0.3">
      <c r="A205">
        <f t="shared" si="18"/>
        <v>25</v>
      </c>
      <c r="B205" s="2">
        <f t="shared" si="19"/>
        <v>52263</v>
      </c>
      <c r="C205" s="5">
        <f t="shared" si="20"/>
        <v>366.82768443032865</v>
      </c>
      <c r="D205" s="5">
        <f t="shared" si="21"/>
        <v>18.72231556967137</v>
      </c>
      <c r="E205" s="5">
        <f t="shared" si="22"/>
        <v>385.55</v>
      </c>
      <c r="F205" s="5">
        <f t="shared" si="23"/>
        <v>9401.3369606156029</v>
      </c>
    </row>
    <row r="206" spans="1:6" x14ac:dyDescent="0.3">
      <c r="A206">
        <f t="shared" si="18"/>
        <v>24</v>
      </c>
      <c r="B206" s="2">
        <f t="shared" si="19"/>
        <v>52291</v>
      </c>
      <c r="C206" s="5">
        <f t="shared" si="20"/>
        <v>367.5307708254868</v>
      </c>
      <c r="D206" s="5">
        <f t="shared" si="21"/>
        <v>18.019229174513239</v>
      </c>
      <c r="E206" s="5">
        <f t="shared" si="22"/>
        <v>385.55</v>
      </c>
      <c r="F206" s="5">
        <f t="shared" si="23"/>
        <v>9033.8061897901171</v>
      </c>
    </row>
    <row r="207" spans="1:6" x14ac:dyDescent="0.3">
      <c r="A207">
        <f t="shared" si="18"/>
        <v>23</v>
      </c>
      <c r="B207" s="2">
        <f t="shared" si="19"/>
        <v>52322</v>
      </c>
      <c r="C207" s="5">
        <f t="shared" si="20"/>
        <v>368.23520480290227</v>
      </c>
      <c r="D207" s="5">
        <f t="shared" si="21"/>
        <v>17.314795197097723</v>
      </c>
      <c r="E207" s="5">
        <f t="shared" si="22"/>
        <v>385.55</v>
      </c>
      <c r="F207" s="5">
        <f t="shared" si="23"/>
        <v>8665.5709849872146</v>
      </c>
    </row>
    <row r="208" spans="1:6" x14ac:dyDescent="0.3">
      <c r="A208">
        <f t="shared" si="18"/>
        <v>22</v>
      </c>
      <c r="B208" s="2">
        <f t="shared" si="19"/>
        <v>52352</v>
      </c>
      <c r="C208" s="5">
        <f t="shared" si="20"/>
        <v>368.94098894544118</v>
      </c>
      <c r="D208" s="5">
        <f t="shared" si="21"/>
        <v>16.609011054558827</v>
      </c>
      <c r="E208" s="5">
        <f t="shared" si="22"/>
        <v>385.55</v>
      </c>
      <c r="F208" s="5">
        <f t="shared" si="23"/>
        <v>8296.6299960417728</v>
      </c>
    </row>
    <row r="209" spans="1:6" x14ac:dyDescent="0.3">
      <c r="A209">
        <f t="shared" si="18"/>
        <v>21</v>
      </c>
      <c r="B209" s="2">
        <f t="shared" si="19"/>
        <v>52383</v>
      </c>
      <c r="C209" s="5">
        <f t="shared" si="20"/>
        <v>369.64812584091993</v>
      </c>
      <c r="D209" s="5">
        <f t="shared" si="21"/>
        <v>15.901874159080064</v>
      </c>
      <c r="E209" s="5">
        <f t="shared" si="22"/>
        <v>385.55</v>
      </c>
      <c r="F209" s="5">
        <f t="shared" si="23"/>
        <v>7926.9818702008524</v>
      </c>
    </row>
    <row r="210" spans="1:6" x14ac:dyDescent="0.3">
      <c r="A210">
        <f t="shared" si="18"/>
        <v>20</v>
      </c>
      <c r="B210" s="2">
        <f t="shared" si="19"/>
        <v>52413</v>
      </c>
      <c r="C210" s="5">
        <f t="shared" si="20"/>
        <v>370.35661808211506</v>
      </c>
      <c r="D210" s="5">
        <f t="shared" si="21"/>
        <v>15.193381917884969</v>
      </c>
      <c r="E210" s="5">
        <f t="shared" si="22"/>
        <v>385.55</v>
      </c>
      <c r="F210" s="5">
        <f t="shared" si="23"/>
        <v>7556.6252521187371</v>
      </c>
    </row>
    <row r="211" spans="1:6" x14ac:dyDescent="0.3">
      <c r="A211">
        <f t="shared" si="18"/>
        <v>19</v>
      </c>
      <c r="B211" s="2">
        <f t="shared" si="19"/>
        <v>52444</v>
      </c>
      <c r="C211" s="5">
        <f t="shared" si="20"/>
        <v>371.0664682667724</v>
      </c>
      <c r="D211" s="5">
        <f t="shared" si="21"/>
        <v>14.483531733227579</v>
      </c>
      <c r="E211" s="5">
        <f t="shared" si="22"/>
        <v>385.55</v>
      </c>
      <c r="F211" s="5">
        <f t="shared" si="23"/>
        <v>7185.558783851965</v>
      </c>
    </row>
    <row r="212" spans="1:6" x14ac:dyDescent="0.3">
      <c r="A212">
        <f t="shared" si="18"/>
        <v>18</v>
      </c>
      <c r="B212" s="2">
        <f t="shared" si="19"/>
        <v>52475</v>
      </c>
      <c r="C212" s="5">
        <f t="shared" si="20"/>
        <v>371.7776789976171</v>
      </c>
      <c r="D212" s="5">
        <f t="shared" si="21"/>
        <v>13.772321002382933</v>
      </c>
      <c r="E212" s="5">
        <f t="shared" si="22"/>
        <v>385.55</v>
      </c>
      <c r="F212" s="5">
        <f t="shared" si="23"/>
        <v>6813.7811048543481</v>
      </c>
    </row>
    <row r="213" spans="1:6" x14ac:dyDescent="0.3">
      <c r="A213">
        <f t="shared" si="18"/>
        <v>17</v>
      </c>
      <c r="B213" s="2">
        <f t="shared" si="19"/>
        <v>52505</v>
      </c>
      <c r="C213" s="5">
        <f t="shared" si="20"/>
        <v>372.49025288236248</v>
      </c>
      <c r="D213" s="5">
        <f t="shared" si="21"/>
        <v>13.0597471176375</v>
      </c>
      <c r="E213" s="5">
        <f t="shared" si="22"/>
        <v>385.55</v>
      </c>
      <c r="F213" s="5">
        <f t="shared" si="23"/>
        <v>6441.2908519719858</v>
      </c>
    </row>
    <row r="214" spans="1:6" x14ac:dyDescent="0.3">
      <c r="A214">
        <f t="shared" si="18"/>
        <v>16</v>
      </c>
      <c r="B214" s="2">
        <f t="shared" si="19"/>
        <v>52536</v>
      </c>
      <c r="C214" s="5">
        <f t="shared" si="20"/>
        <v>373.20419253372035</v>
      </c>
      <c r="D214" s="5">
        <f t="shared" si="21"/>
        <v>12.34580746627964</v>
      </c>
      <c r="E214" s="5">
        <f t="shared" si="22"/>
        <v>385.55</v>
      </c>
      <c r="F214" s="5">
        <f t="shared" si="23"/>
        <v>6068.0866594382651</v>
      </c>
    </row>
    <row r="215" spans="1:6" x14ac:dyDescent="0.3">
      <c r="A215">
        <f t="shared" si="18"/>
        <v>15</v>
      </c>
      <c r="B215" s="2">
        <f t="shared" si="19"/>
        <v>52566</v>
      </c>
      <c r="C215" s="5">
        <f t="shared" si="20"/>
        <v>373.91950056940999</v>
      </c>
      <c r="D215" s="5">
        <f t="shared" si="21"/>
        <v>11.630499430590008</v>
      </c>
      <c r="E215" s="5">
        <f t="shared" si="22"/>
        <v>385.55</v>
      </c>
      <c r="F215" s="5">
        <f t="shared" si="23"/>
        <v>5694.167158868855</v>
      </c>
    </row>
    <row r="216" spans="1:6" x14ac:dyDescent="0.3">
      <c r="A216">
        <f t="shared" si="18"/>
        <v>14</v>
      </c>
      <c r="B216" s="2">
        <f t="shared" si="19"/>
        <v>52597</v>
      </c>
      <c r="C216" s="5">
        <f t="shared" si="20"/>
        <v>374.63617961216806</v>
      </c>
      <c r="D216" s="5">
        <f t="shared" si="21"/>
        <v>10.91382038783197</v>
      </c>
      <c r="E216" s="5">
        <f t="shared" si="22"/>
        <v>385.55</v>
      </c>
      <c r="F216" s="5">
        <f t="shared" si="23"/>
        <v>5319.5309792566868</v>
      </c>
    </row>
    <row r="217" spans="1:6" x14ac:dyDescent="0.3">
      <c r="A217">
        <f t="shared" si="18"/>
        <v>13</v>
      </c>
      <c r="B217" s="2">
        <f t="shared" si="19"/>
        <v>52628</v>
      </c>
      <c r="C217" s="5">
        <f t="shared" si="20"/>
        <v>375.35423228975804</v>
      </c>
      <c r="D217" s="5">
        <f t="shared" si="21"/>
        <v>10.195767710241983</v>
      </c>
      <c r="E217" s="5">
        <f t="shared" si="22"/>
        <v>385.55</v>
      </c>
      <c r="F217" s="5">
        <f t="shared" si="23"/>
        <v>4944.1767469669285</v>
      </c>
    </row>
    <row r="218" spans="1:6" x14ac:dyDescent="0.3">
      <c r="A218">
        <f t="shared" si="18"/>
        <v>12</v>
      </c>
      <c r="B218" s="2">
        <f t="shared" si="19"/>
        <v>52657</v>
      </c>
      <c r="C218" s="5">
        <f t="shared" si="20"/>
        <v>376.07366123498008</v>
      </c>
      <c r="D218" s="5">
        <f t="shared" si="21"/>
        <v>9.4763387650199462</v>
      </c>
      <c r="E218" s="5">
        <f t="shared" si="22"/>
        <v>385.55</v>
      </c>
      <c r="F218" s="5">
        <f t="shared" si="23"/>
        <v>4568.1030857319483</v>
      </c>
    </row>
    <row r="219" spans="1:6" x14ac:dyDescent="0.3">
      <c r="A219">
        <f t="shared" si="18"/>
        <v>11</v>
      </c>
      <c r="B219" s="2">
        <f t="shared" si="19"/>
        <v>52688</v>
      </c>
      <c r="C219" s="5">
        <f t="shared" si="20"/>
        <v>376.79446908568042</v>
      </c>
      <c r="D219" s="5">
        <f t="shared" si="21"/>
        <v>8.7555309143195679</v>
      </c>
      <c r="E219" s="5">
        <f t="shared" si="22"/>
        <v>385.55</v>
      </c>
      <c r="F219" s="5">
        <f t="shared" si="23"/>
        <v>4191.3086166462681</v>
      </c>
    </row>
    <row r="220" spans="1:6" x14ac:dyDescent="0.3">
      <c r="A220">
        <f t="shared" si="18"/>
        <v>10</v>
      </c>
      <c r="B220" s="2">
        <f t="shared" si="19"/>
        <v>52718</v>
      </c>
      <c r="C220" s="5">
        <f t="shared" si="20"/>
        <v>377.51665848476131</v>
      </c>
      <c r="D220" s="5">
        <f t="shared" si="21"/>
        <v>8.0333415152386802</v>
      </c>
      <c r="E220" s="5">
        <f t="shared" si="22"/>
        <v>385.55</v>
      </c>
      <c r="F220" s="5">
        <f t="shared" si="23"/>
        <v>3813.791958161507</v>
      </c>
    </row>
    <row r="221" spans="1:6" x14ac:dyDescent="0.3">
      <c r="A221">
        <f t="shared" si="18"/>
        <v>9</v>
      </c>
      <c r="B221" s="2">
        <f t="shared" si="19"/>
        <v>52749</v>
      </c>
      <c r="C221" s="5">
        <f t="shared" si="20"/>
        <v>378.24023208019048</v>
      </c>
      <c r="D221" s="5">
        <f t="shared" si="21"/>
        <v>7.3097679198095546</v>
      </c>
      <c r="E221" s="5">
        <f t="shared" si="22"/>
        <v>385.55</v>
      </c>
      <c r="F221" s="5">
        <f t="shared" si="23"/>
        <v>3435.5517260813167</v>
      </c>
    </row>
    <row r="222" spans="1:6" x14ac:dyDescent="0.3">
      <c r="A222">
        <f t="shared" si="18"/>
        <v>8</v>
      </c>
      <c r="B222" s="2">
        <f t="shared" si="19"/>
        <v>52779</v>
      </c>
      <c r="C222" s="5">
        <f t="shared" si="20"/>
        <v>378.96519252501082</v>
      </c>
      <c r="D222" s="5">
        <f t="shared" si="21"/>
        <v>6.5848074749891907</v>
      </c>
      <c r="E222" s="5">
        <f t="shared" si="22"/>
        <v>385.55</v>
      </c>
      <c r="F222" s="5">
        <f t="shared" si="23"/>
        <v>3056.5865335563058</v>
      </c>
    </row>
    <row r="223" spans="1:6" x14ac:dyDescent="0.3">
      <c r="A223">
        <f t="shared" si="18"/>
        <v>7</v>
      </c>
      <c r="B223" s="2">
        <f t="shared" si="19"/>
        <v>52810</v>
      </c>
      <c r="C223" s="5">
        <f t="shared" si="20"/>
        <v>379.69154247735042</v>
      </c>
      <c r="D223" s="5">
        <f t="shared" si="21"/>
        <v>5.8584575226495863</v>
      </c>
      <c r="E223" s="5">
        <f t="shared" si="22"/>
        <v>385.55</v>
      </c>
      <c r="F223" s="5">
        <f t="shared" si="23"/>
        <v>2676.8949910789552</v>
      </c>
    </row>
    <row r="224" spans="1:6" x14ac:dyDescent="0.3">
      <c r="A224">
        <f t="shared" si="18"/>
        <v>6</v>
      </c>
      <c r="B224" s="2">
        <f t="shared" si="19"/>
        <v>52841</v>
      </c>
      <c r="C224" s="5">
        <f t="shared" si="20"/>
        <v>380.41928460043204</v>
      </c>
      <c r="D224" s="5">
        <f t="shared" si="21"/>
        <v>5.1307153995679977</v>
      </c>
      <c r="E224" s="5">
        <f t="shared" si="22"/>
        <v>385.55</v>
      </c>
      <c r="F224" s="5">
        <f t="shared" si="23"/>
        <v>2296.4757064785231</v>
      </c>
    </row>
    <row r="225" spans="1:6" x14ac:dyDescent="0.3">
      <c r="A225">
        <f t="shared" si="18"/>
        <v>5</v>
      </c>
      <c r="B225" s="2">
        <f t="shared" si="19"/>
        <v>52871</v>
      </c>
      <c r="C225" s="5">
        <f t="shared" si="20"/>
        <v>381.14842156258283</v>
      </c>
      <c r="D225" s="5">
        <f t="shared" si="21"/>
        <v>4.4015784374171689</v>
      </c>
      <c r="E225" s="5">
        <f t="shared" si="22"/>
        <v>385.55</v>
      </c>
      <c r="F225" s="5">
        <f t="shared" si="23"/>
        <v>1915.3272849159403</v>
      </c>
    </row>
    <row r="226" spans="1:6" x14ac:dyDescent="0.3">
      <c r="A226">
        <f t="shared" si="18"/>
        <v>4</v>
      </c>
      <c r="B226" s="2">
        <f t="shared" si="19"/>
        <v>52902</v>
      </c>
      <c r="C226" s="5">
        <f t="shared" si="20"/>
        <v>381.87895603724445</v>
      </c>
      <c r="D226" s="5">
        <f t="shared" si="21"/>
        <v>3.6710439627555522</v>
      </c>
      <c r="E226" s="5">
        <f t="shared" si="22"/>
        <v>385.55</v>
      </c>
      <c r="F226" s="5">
        <f t="shared" si="23"/>
        <v>1533.4483288786957</v>
      </c>
    </row>
    <row r="227" spans="1:6" x14ac:dyDescent="0.3">
      <c r="A227">
        <f t="shared" si="18"/>
        <v>3</v>
      </c>
      <c r="B227" s="2">
        <f t="shared" si="19"/>
        <v>52932</v>
      </c>
      <c r="C227" s="5">
        <f t="shared" si="20"/>
        <v>382.61089070298249</v>
      </c>
      <c r="D227" s="5">
        <f t="shared" si="21"/>
        <v>2.9391092970175001</v>
      </c>
      <c r="E227" s="5">
        <f t="shared" si="22"/>
        <v>385.55</v>
      </c>
      <c r="F227" s="5">
        <f t="shared" si="23"/>
        <v>1150.8374381757133</v>
      </c>
    </row>
    <row r="228" spans="1:6" x14ac:dyDescent="0.3">
      <c r="A228">
        <f t="shared" si="18"/>
        <v>2</v>
      </c>
      <c r="B228" s="2">
        <f t="shared" si="19"/>
        <v>52963</v>
      </c>
      <c r="C228" s="5">
        <f t="shared" si="20"/>
        <v>383.34422824349656</v>
      </c>
      <c r="D228" s="5">
        <f t="shared" si="21"/>
        <v>2.2057717565034505</v>
      </c>
      <c r="E228" s="5">
        <f t="shared" si="22"/>
        <v>385.55</v>
      </c>
      <c r="F228" s="5">
        <f t="shared" si="23"/>
        <v>767.4932099322167</v>
      </c>
    </row>
    <row r="229" spans="1:6" x14ac:dyDescent="0.3">
      <c r="A229">
        <f t="shared" si="18"/>
        <v>1</v>
      </c>
      <c r="B229" s="2">
        <f t="shared" si="19"/>
        <v>52994</v>
      </c>
      <c r="C229" s="5">
        <f t="shared" si="20"/>
        <v>384.07897134762993</v>
      </c>
      <c r="D229" s="5">
        <f t="shared" si="21"/>
        <v>1.471028652370082</v>
      </c>
      <c r="E229" s="5">
        <f t="shared" si="22"/>
        <v>385.55</v>
      </c>
      <c r="F229" s="5">
        <f t="shared" si="23"/>
        <v>383.41423858458677</v>
      </c>
    </row>
    <row r="230" spans="1:6" s="3" customFormat="1" x14ac:dyDescent="0.3">
      <c r="A230" s="3">
        <f t="shared" si="18"/>
        <v>0</v>
      </c>
      <c r="B230" s="4">
        <f t="shared" si="19"/>
        <v>53022</v>
      </c>
      <c r="C230" s="6">
        <f t="shared" si="20"/>
        <v>384.81512270937958</v>
      </c>
      <c r="D230" s="6">
        <f t="shared" si="21"/>
        <v>0.73487729062045792</v>
      </c>
      <c r="E230" s="6">
        <f t="shared" si="22"/>
        <v>385.55</v>
      </c>
      <c r="F230" s="6">
        <f t="shared" si="23"/>
        <v>-1.4008841247928103</v>
      </c>
    </row>
    <row r="232" spans="1:6" x14ac:dyDescent="0.3">
      <c r="E232" t="s">
        <v>12</v>
      </c>
    </row>
    <row r="233" spans="1:6" x14ac:dyDescent="0.3">
      <c r="E233" s="5">
        <f>SUM(E5:E230)</f>
        <v>116259.53000000062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5EF7-F425-45B3-8DE5-1F0A532210ED}">
  <dimension ref="A1:H229"/>
  <sheetViews>
    <sheetView tabSelected="1" workbookViewId="0">
      <selection activeCell="I19" sqref="I18:I19"/>
    </sheetView>
  </sheetViews>
  <sheetFormatPr defaultRowHeight="14.4" x14ac:dyDescent="0.3"/>
  <cols>
    <col min="1" max="6" width="11.6640625" bestFit="1" customWidth="1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</row>
    <row r="2" spans="1:8" x14ac:dyDescent="0.3">
      <c r="A2">
        <v>100000</v>
      </c>
      <c r="B2">
        <v>2.3E-2</v>
      </c>
      <c r="C2">
        <v>385.55</v>
      </c>
      <c r="D2">
        <v>30</v>
      </c>
      <c r="E2">
        <v>359</v>
      </c>
      <c r="F2">
        <v>3.15E-2</v>
      </c>
    </row>
    <row r="3" spans="1:8" x14ac:dyDescent="0.3">
      <c r="H3" t="s">
        <v>14</v>
      </c>
    </row>
    <row r="4" spans="1:8" x14ac:dyDescent="0.3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H4" t="s">
        <v>13</v>
      </c>
    </row>
    <row r="5" spans="1:8" x14ac:dyDescent="0.3">
      <c r="A5">
        <v>359</v>
      </c>
      <c r="B5" s="2">
        <v>46204</v>
      </c>
      <c r="C5" s="5">
        <v>0</v>
      </c>
      <c r="D5" s="5">
        <v>56.71</v>
      </c>
      <c r="E5" s="5">
        <v>56.71</v>
      </c>
      <c r="F5" s="5">
        <v>100000</v>
      </c>
      <c r="H5">
        <f>E5</f>
        <v>56.71</v>
      </c>
    </row>
    <row r="6" spans="1:8" s="3" customFormat="1" x14ac:dyDescent="0.3">
      <c r="A6" s="3">
        <v>224</v>
      </c>
      <c r="B6" s="4">
        <v>46205</v>
      </c>
      <c r="C6" s="6">
        <v>29839.62</v>
      </c>
      <c r="D6" s="6">
        <v>3.76</v>
      </c>
      <c r="E6" s="6">
        <v>29839.62</v>
      </c>
      <c r="F6" s="6">
        <f>F5-E6</f>
        <v>70160.38</v>
      </c>
      <c r="H6" s="3">
        <f>D6+E6</f>
        <v>29843.379999999997</v>
      </c>
    </row>
    <row r="7" spans="1:8" s="3" customFormat="1" x14ac:dyDescent="0.3">
      <c r="A7" s="3">
        <v>220</v>
      </c>
      <c r="B7" s="4">
        <f>EDATE(B5,1)</f>
        <v>46235</v>
      </c>
      <c r="C7" s="6">
        <v>1009.11</v>
      </c>
      <c r="D7" s="6">
        <v>0.06</v>
      </c>
      <c r="E7" s="6">
        <f>C7+D7</f>
        <v>1009.17</v>
      </c>
      <c r="F7" s="6">
        <f>F6-C7</f>
        <v>69151.27</v>
      </c>
      <c r="H7" s="3">
        <f>D7+E7</f>
        <v>1009.2299999999999</v>
      </c>
    </row>
    <row r="8" spans="1:8" x14ac:dyDescent="0.3">
      <c r="A8">
        <v>219</v>
      </c>
      <c r="B8" s="2">
        <v>46235</v>
      </c>
      <c r="C8" s="5">
        <v>251.07</v>
      </c>
      <c r="D8" s="5">
        <v>134.47</v>
      </c>
      <c r="E8" s="5">
        <v>385.54</v>
      </c>
      <c r="F8" s="5">
        <f>F7-C8</f>
        <v>68900.2</v>
      </c>
      <c r="H8">
        <f>D8+E8</f>
        <v>520.01</v>
      </c>
    </row>
    <row r="9" spans="1:8" x14ac:dyDescent="0.3">
      <c r="A9">
        <v>218</v>
      </c>
      <c r="B9" s="2">
        <f>EDATE(B7,1)</f>
        <v>46266</v>
      </c>
      <c r="C9" s="5">
        <f>$C$2-D9</f>
        <v>253.49128333333337</v>
      </c>
      <c r="D9" s="5">
        <f>F8*$B$2/12</f>
        <v>132.05871666666664</v>
      </c>
      <c r="E9" s="5">
        <f>$C$2</f>
        <v>385.55</v>
      </c>
      <c r="F9" s="5">
        <f>F8-C9</f>
        <v>68646.708716666661</v>
      </c>
    </row>
    <row r="10" spans="1:8" x14ac:dyDescent="0.3">
      <c r="A10">
        <f t="shared" ref="A10:A72" si="0">A9-1</f>
        <v>217</v>
      </c>
      <c r="B10" s="2">
        <f t="shared" ref="B10:B73" si="1">EDATE(B9,1)</f>
        <v>46296</v>
      </c>
      <c r="C10" s="5">
        <f t="shared" ref="C10:C73" si="2">$C$2-D10</f>
        <v>253.97714162638891</v>
      </c>
      <c r="D10" s="5">
        <f t="shared" ref="D10:D73" si="3">F9*$B$2/12</f>
        <v>131.5728583736111</v>
      </c>
      <c r="E10" s="5">
        <f t="shared" ref="E10:E73" si="4">$C$2</f>
        <v>385.55</v>
      </c>
      <c r="F10" s="5">
        <f t="shared" ref="F10:F73" si="5">F9-C10</f>
        <v>68392.731575040278</v>
      </c>
    </row>
    <row r="11" spans="1:8" x14ac:dyDescent="0.3">
      <c r="A11">
        <f t="shared" si="0"/>
        <v>216</v>
      </c>
      <c r="B11" s="2">
        <f t="shared" si="1"/>
        <v>46327</v>
      </c>
      <c r="C11" s="5">
        <f t="shared" si="2"/>
        <v>254.46393114783947</v>
      </c>
      <c r="D11" s="5">
        <f t="shared" si="3"/>
        <v>131.08606885216054</v>
      </c>
      <c r="E11" s="5">
        <f t="shared" si="4"/>
        <v>385.55</v>
      </c>
      <c r="F11" s="5">
        <f t="shared" si="5"/>
        <v>68138.267643892439</v>
      </c>
    </row>
    <row r="12" spans="1:8" x14ac:dyDescent="0.3">
      <c r="A12">
        <f t="shared" si="0"/>
        <v>215</v>
      </c>
      <c r="B12" s="2">
        <f t="shared" si="1"/>
        <v>46357</v>
      </c>
      <c r="C12" s="5">
        <f t="shared" si="2"/>
        <v>254.9516536825395</v>
      </c>
      <c r="D12" s="5">
        <f t="shared" si="3"/>
        <v>130.59834631746051</v>
      </c>
      <c r="E12" s="5">
        <f t="shared" si="4"/>
        <v>385.55</v>
      </c>
      <c r="F12" s="5">
        <f t="shared" si="5"/>
        <v>67883.3159902099</v>
      </c>
    </row>
    <row r="13" spans="1:8" x14ac:dyDescent="0.3">
      <c r="A13">
        <f t="shared" si="0"/>
        <v>214</v>
      </c>
      <c r="B13" s="2">
        <f t="shared" si="1"/>
        <v>46388</v>
      </c>
      <c r="C13" s="5">
        <f t="shared" si="2"/>
        <v>255.44031101876439</v>
      </c>
      <c r="D13" s="5">
        <f t="shared" si="3"/>
        <v>130.10968898123562</v>
      </c>
      <c r="E13" s="5">
        <f t="shared" si="4"/>
        <v>385.55</v>
      </c>
      <c r="F13" s="5">
        <f t="shared" si="5"/>
        <v>67627.875679191129</v>
      </c>
    </row>
    <row r="14" spans="1:8" x14ac:dyDescent="0.3">
      <c r="A14">
        <f t="shared" si="0"/>
        <v>213</v>
      </c>
      <c r="B14" s="2">
        <f t="shared" si="1"/>
        <v>46419</v>
      </c>
      <c r="C14" s="5">
        <f t="shared" si="2"/>
        <v>255.929904948217</v>
      </c>
      <c r="D14" s="5">
        <f t="shared" si="3"/>
        <v>129.62009505178301</v>
      </c>
      <c r="E14" s="5">
        <f t="shared" si="4"/>
        <v>385.55</v>
      </c>
      <c r="F14" s="5">
        <f t="shared" si="5"/>
        <v>67371.945774242908</v>
      </c>
    </row>
    <row r="15" spans="1:8" x14ac:dyDescent="0.3">
      <c r="A15">
        <f t="shared" si="0"/>
        <v>212</v>
      </c>
      <c r="B15" s="2">
        <f t="shared" si="1"/>
        <v>46447</v>
      </c>
      <c r="C15" s="5">
        <f t="shared" si="2"/>
        <v>256.42043726603447</v>
      </c>
      <c r="D15" s="5">
        <f t="shared" si="3"/>
        <v>129.12956273396557</v>
      </c>
      <c r="E15" s="5">
        <f t="shared" si="4"/>
        <v>385.55</v>
      </c>
      <c r="F15" s="5">
        <f t="shared" si="5"/>
        <v>67115.525336976876</v>
      </c>
    </row>
    <row r="16" spans="1:8" x14ac:dyDescent="0.3">
      <c r="A16">
        <f t="shared" si="0"/>
        <v>211</v>
      </c>
      <c r="B16" s="2">
        <f t="shared" si="1"/>
        <v>46478</v>
      </c>
      <c r="C16" s="5">
        <f t="shared" si="2"/>
        <v>256.9119097707943</v>
      </c>
      <c r="D16" s="5">
        <f t="shared" si="3"/>
        <v>128.63809022920569</v>
      </c>
      <c r="E16" s="5">
        <f t="shared" si="4"/>
        <v>385.55</v>
      </c>
      <c r="F16" s="5">
        <f t="shared" si="5"/>
        <v>66858.613427206088</v>
      </c>
    </row>
    <row r="17" spans="1:6" x14ac:dyDescent="0.3">
      <c r="A17">
        <f t="shared" si="0"/>
        <v>210</v>
      </c>
      <c r="B17" s="2">
        <f t="shared" si="1"/>
        <v>46508</v>
      </c>
      <c r="C17" s="5">
        <f t="shared" si="2"/>
        <v>257.40432426452168</v>
      </c>
      <c r="D17" s="5">
        <f t="shared" si="3"/>
        <v>128.14567573547833</v>
      </c>
      <c r="E17" s="5">
        <f t="shared" si="4"/>
        <v>385.55</v>
      </c>
      <c r="F17" s="5">
        <f t="shared" si="5"/>
        <v>66601.209102941561</v>
      </c>
    </row>
    <row r="18" spans="1:6" x14ac:dyDescent="0.3">
      <c r="A18">
        <f t="shared" si="0"/>
        <v>209</v>
      </c>
      <c r="B18" s="2">
        <f t="shared" si="1"/>
        <v>46539</v>
      </c>
      <c r="C18" s="5">
        <f t="shared" si="2"/>
        <v>257.89768255269536</v>
      </c>
      <c r="D18" s="5">
        <f t="shared" si="3"/>
        <v>127.65231744730465</v>
      </c>
      <c r="E18" s="5">
        <f t="shared" si="4"/>
        <v>385.55</v>
      </c>
      <c r="F18" s="5">
        <f t="shared" si="5"/>
        <v>66343.311420388869</v>
      </c>
    </row>
    <row r="19" spans="1:6" x14ac:dyDescent="0.3">
      <c r="A19">
        <f t="shared" si="0"/>
        <v>208</v>
      </c>
      <c r="B19" s="2">
        <f t="shared" si="1"/>
        <v>46569</v>
      </c>
      <c r="C19" s="5">
        <f t="shared" si="2"/>
        <v>258.39198644425466</v>
      </c>
      <c r="D19" s="5">
        <f t="shared" si="3"/>
        <v>127.15801355574534</v>
      </c>
      <c r="E19" s="5">
        <f t="shared" si="4"/>
        <v>385.55</v>
      </c>
      <c r="F19" s="5">
        <f t="shared" si="5"/>
        <v>66084.919433944611</v>
      </c>
    </row>
    <row r="20" spans="1:6" x14ac:dyDescent="0.3">
      <c r="A20">
        <f t="shared" si="0"/>
        <v>207</v>
      </c>
      <c r="B20" s="2">
        <f t="shared" si="1"/>
        <v>46600</v>
      </c>
      <c r="C20" s="5">
        <f t="shared" si="2"/>
        <v>258.88723775160616</v>
      </c>
      <c r="D20" s="5">
        <f t="shared" si="3"/>
        <v>126.66276224839383</v>
      </c>
      <c r="E20" s="5">
        <f t="shared" si="4"/>
        <v>385.55</v>
      </c>
      <c r="F20" s="5">
        <f t="shared" si="5"/>
        <v>65826.032196193002</v>
      </c>
    </row>
    <row r="21" spans="1:6" x14ac:dyDescent="0.3">
      <c r="A21">
        <f t="shared" si="0"/>
        <v>206</v>
      </c>
      <c r="B21" s="2">
        <f t="shared" si="1"/>
        <v>46631</v>
      </c>
      <c r="C21" s="5">
        <f t="shared" si="2"/>
        <v>259.38343829063007</v>
      </c>
      <c r="D21" s="5">
        <f t="shared" si="3"/>
        <v>126.16656170936993</v>
      </c>
      <c r="E21" s="5">
        <f t="shared" si="4"/>
        <v>385.55</v>
      </c>
      <c r="F21" s="5">
        <f t="shared" si="5"/>
        <v>65566.648757902367</v>
      </c>
    </row>
    <row r="22" spans="1:6" x14ac:dyDescent="0.3">
      <c r="A22">
        <f t="shared" si="0"/>
        <v>205</v>
      </c>
      <c r="B22" s="2">
        <f t="shared" si="1"/>
        <v>46661</v>
      </c>
      <c r="C22" s="5">
        <f t="shared" si="2"/>
        <v>259.88058988068713</v>
      </c>
      <c r="D22" s="5">
        <f t="shared" si="3"/>
        <v>125.66941011931287</v>
      </c>
      <c r="E22" s="5">
        <f t="shared" si="4"/>
        <v>385.55</v>
      </c>
      <c r="F22" s="5">
        <f t="shared" si="5"/>
        <v>65306.768168021677</v>
      </c>
    </row>
    <row r="23" spans="1:6" x14ac:dyDescent="0.3">
      <c r="A23">
        <f t="shared" si="0"/>
        <v>204</v>
      </c>
      <c r="B23" s="2">
        <f t="shared" si="1"/>
        <v>46692</v>
      </c>
      <c r="C23" s="5">
        <f t="shared" si="2"/>
        <v>260.37869434462516</v>
      </c>
      <c r="D23" s="5">
        <f t="shared" si="3"/>
        <v>125.17130565537487</v>
      </c>
      <c r="E23" s="5">
        <f t="shared" si="4"/>
        <v>385.55</v>
      </c>
      <c r="F23" s="5">
        <f t="shared" si="5"/>
        <v>65046.389473677053</v>
      </c>
    </row>
    <row r="24" spans="1:6" x14ac:dyDescent="0.3">
      <c r="A24">
        <f t="shared" si="0"/>
        <v>203</v>
      </c>
      <c r="B24" s="2">
        <f t="shared" si="1"/>
        <v>46722</v>
      </c>
      <c r="C24" s="5">
        <f t="shared" si="2"/>
        <v>260.87775350878564</v>
      </c>
      <c r="D24" s="5">
        <f t="shared" si="3"/>
        <v>124.67224649121435</v>
      </c>
      <c r="E24" s="5">
        <f t="shared" si="4"/>
        <v>385.55</v>
      </c>
      <c r="F24" s="5">
        <f t="shared" si="5"/>
        <v>64785.511720168266</v>
      </c>
    </row>
    <row r="25" spans="1:6" x14ac:dyDescent="0.3">
      <c r="A25">
        <f t="shared" si="0"/>
        <v>202</v>
      </c>
      <c r="B25" s="2">
        <f t="shared" si="1"/>
        <v>46753</v>
      </c>
      <c r="C25" s="5">
        <f t="shared" si="2"/>
        <v>261.37776920301081</v>
      </c>
      <c r="D25" s="5">
        <f t="shared" si="3"/>
        <v>124.17223079698918</v>
      </c>
      <c r="E25" s="5">
        <f t="shared" si="4"/>
        <v>385.55</v>
      </c>
      <c r="F25" s="5">
        <f t="shared" si="5"/>
        <v>64524.133950965253</v>
      </c>
    </row>
    <row r="26" spans="1:6" x14ac:dyDescent="0.3">
      <c r="A26">
        <f t="shared" si="0"/>
        <v>201</v>
      </c>
      <c r="B26" s="2">
        <f t="shared" si="1"/>
        <v>46784</v>
      </c>
      <c r="C26" s="5">
        <f t="shared" si="2"/>
        <v>261.87874326064997</v>
      </c>
      <c r="D26" s="5">
        <f t="shared" si="3"/>
        <v>123.67125673935006</v>
      </c>
      <c r="E26" s="5">
        <f t="shared" si="4"/>
        <v>385.55</v>
      </c>
      <c r="F26" s="5">
        <f t="shared" si="5"/>
        <v>64262.255207704606</v>
      </c>
    </row>
    <row r="27" spans="1:6" x14ac:dyDescent="0.3">
      <c r="A27">
        <f t="shared" si="0"/>
        <v>200</v>
      </c>
      <c r="B27" s="2">
        <f t="shared" si="1"/>
        <v>46813</v>
      </c>
      <c r="C27" s="5">
        <f t="shared" si="2"/>
        <v>262.38067751856619</v>
      </c>
      <c r="D27" s="5">
        <f t="shared" si="3"/>
        <v>123.16932248143382</v>
      </c>
      <c r="E27" s="5">
        <f t="shared" si="4"/>
        <v>385.55</v>
      </c>
      <c r="F27" s="5">
        <f t="shared" si="5"/>
        <v>63999.87453018604</v>
      </c>
    </row>
    <row r="28" spans="1:6" x14ac:dyDescent="0.3">
      <c r="A28">
        <f t="shared" si="0"/>
        <v>199</v>
      </c>
      <c r="B28" s="2">
        <f t="shared" si="1"/>
        <v>46844</v>
      </c>
      <c r="C28" s="5">
        <f t="shared" si="2"/>
        <v>262.88357381714343</v>
      </c>
      <c r="D28" s="5">
        <f t="shared" si="3"/>
        <v>122.66642618285658</v>
      </c>
      <c r="E28" s="5">
        <f t="shared" si="4"/>
        <v>385.55</v>
      </c>
      <c r="F28" s="5">
        <f t="shared" si="5"/>
        <v>63736.9909563689</v>
      </c>
    </row>
    <row r="29" spans="1:6" x14ac:dyDescent="0.3">
      <c r="A29">
        <f t="shared" si="0"/>
        <v>198</v>
      </c>
      <c r="B29" s="2">
        <f t="shared" si="1"/>
        <v>46874</v>
      </c>
      <c r="C29" s="5">
        <f t="shared" si="2"/>
        <v>263.38743400029296</v>
      </c>
      <c r="D29" s="5">
        <f t="shared" si="3"/>
        <v>122.16256599970706</v>
      </c>
      <c r="E29" s="5">
        <f t="shared" si="4"/>
        <v>385.55</v>
      </c>
      <c r="F29" s="5">
        <f t="shared" si="5"/>
        <v>63473.603522368605</v>
      </c>
    </row>
    <row r="30" spans="1:6" x14ac:dyDescent="0.3">
      <c r="A30">
        <f t="shared" si="0"/>
        <v>197</v>
      </c>
      <c r="B30" s="2">
        <f t="shared" si="1"/>
        <v>46905</v>
      </c>
      <c r="C30" s="5">
        <f t="shared" si="2"/>
        <v>263.89225991546022</v>
      </c>
      <c r="D30" s="5">
        <f t="shared" si="3"/>
        <v>121.65774008453981</v>
      </c>
      <c r="E30" s="5">
        <f t="shared" si="4"/>
        <v>385.55</v>
      </c>
      <c r="F30" s="5">
        <f t="shared" si="5"/>
        <v>63209.711262453144</v>
      </c>
    </row>
    <row r="31" spans="1:6" x14ac:dyDescent="0.3">
      <c r="A31">
        <f t="shared" si="0"/>
        <v>196</v>
      </c>
      <c r="B31" s="2">
        <f t="shared" si="1"/>
        <v>46935</v>
      </c>
      <c r="C31" s="5">
        <f t="shared" si="2"/>
        <v>264.39805341363149</v>
      </c>
      <c r="D31" s="5">
        <f t="shared" si="3"/>
        <v>121.15194658636852</v>
      </c>
      <c r="E31" s="5">
        <f t="shared" si="4"/>
        <v>385.55</v>
      </c>
      <c r="F31" s="5">
        <f t="shared" si="5"/>
        <v>62945.313209039516</v>
      </c>
    </row>
    <row r="32" spans="1:6" x14ac:dyDescent="0.3">
      <c r="A32">
        <f t="shared" si="0"/>
        <v>195</v>
      </c>
      <c r="B32" s="2">
        <f t="shared" si="1"/>
        <v>46966</v>
      </c>
      <c r="C32" s="5">
        <f t="shared" si="2"/>
        <v>264.90481634934093</v>
      </c>
      <c r="D32" s="5">
        <f t="shared" si="3"/>
        <v>120.64518365065908</v>
      </c>
      <c r="E32" s="5">
        <f t="shared" si="4"/>
        <v>385.55</v>
      </c>
      <c r="F32" s="5">
        <f t="shared" si="5"/>
        <v>62680.408392690173</v>
      </c>
    </row>
    <row r="33" spans="1:6" x14ac:dyDescent="0.3">
      <c r="A33">
        <f t="shared" si="0"/>
        <v>194</v>
      </c>
      <c r="B33" s="2">
        <f t="shared" si="1"/>
        <v>46997</v>
      </c>
      <c r="C33" s="5">
        <f t="shared" si="2"/>
        <v>265.41255058067719</v>
      </c>
      <c r="D33" s="5">
        <f t="shared" si="3"/>
        <v>120.13744941932283</v>
      </c>
      <c r="E33" s="5">
        <f t="shared" si="4"/>
        <v>385.55</v>
      </c>
      <c r="F33" s="5">
        <f t="shared" si="5"/>
        <v>62414.995842109493</v>
      </c>
    </row>
    <row r="34" spans="1:6" x14ac:dyDescent="0.3">
      <c r="A34">
        <f t="shared" si="0"/>
        <v>193</v>
      </c>
      <c r="B34" s="2">
        <f t="shared" si="1"/>
        <v>47027</v>
      </c>
      <c r="C34" s="5">
        <f t="shared" si="2"/>
        <v>265.92125796929014</v>
      </c>
      <c r="D34" s="5">
        <f t="shared" si="3"/>
        <v>119.62874203070986</v>
      </c>
      <c r="E34" s="5">
        <f t="shared" si="4"/>
        <v>385.55</v>
      </c>
      <c r="F34" s="5">
        <f t="shared" si="5"/>
        <v>62149.074584140202</v>
      </c>
    </row>
    <row r="35" spans="1:6" x14ac:dyDescent="0.3">
      <c r="A35">
        <f t="shared" si="0"/>
        <v>192</v>
      </c>
      <c r="B35" s="2">
        <f t="shared" si="1"/>
        <v>47058</v>
      </c>
      <c r="C35" s="5">
        <f t="shared" si="2"/>
        <v>266.43094038039794</v>
      </c>
      <c r="D35" s="5">
        <f t="shared" si="3"/>
        <v>119.11905961960206</v>
      </c>
      <c r="E35" s="5">
        <f t="shared" si="4"/>
        <v>385.55</v>
      </c>
      <c r="F35" s="5">
        <f t="shared" si="5"/>
        <v>61882.643643759802</v>
      </c>
    </row>
    <row r="36" spans="1:6" x14ac:dyDescent="0.3">
      <c r="A36">
        <f t="shared" si="0"/>
        <v>191</v>
      </c>
      <c r="B36" s="2">
        <f t="shared" si="1"/>
        <v>47088</v>
      </c>
      <c r="C36" s="5">
        <f t="shared" si="2"/>
        <v>266.94159968279371</v>
      </c>
      <c r="D36" s="5">
        <f t="shared" si="3"/>
        <v>118.60840031720629</v>
      </c>
      <c r="E36" s="5">
        <f t="shared" si="4"/>
        <v>385.55</v>
      </c>
      <c r="F36" s="5">
        <f t="shared" si="5"/>
        <v>61615.702044077007</v>
      </c>
    </row>
    <row r="37" spans="1:6" x14ac:dyDescent="0.3">
      <c r="A37">
        <f t="shared" si="0"/>
        <v>190</v>
      </c>
      <c r="B37" s="2">
        <f t="shared" si="1"/>
        <v>47119</v>
      </c>
      <c r="C37" s="5">
        <f t="shared" si="2"/>
        <v>267.45323774885242</v>
      </c>
      <c r="D37" s="5">
        <f t="shared" si="3"/>
        <v>118.0967622511476</v>
      </c>
      <c r="E37" s="5">
        <f t="shared" si="4"/>
        <v>385.55</v>
      </c>
      <c r="F37" s="5">
        <f t="shared" si="5"/>
        <v>61348.248806328156</v>
      </c>
    </row>
    <row r="38" spans="1:6" x14ac:dyDescent="0.3">
      <c r="A38">
        <f t="shared" si="0"/>
        <v>189</v>
      </c>
      <c r="B38" s="2">
        <f t="shared" si="1"/>
        <v>47150</v>
      </c>
      <c r="C38" s="5">
        <f t="shared" si="2"/>
        <v>267.96585645453769</v>
      </c>
      <c r="D38" s="5">
        <f t="shared" si="3"/>
        <v>117.58414354546231</v>
      </c>
      <c r="E38" s="5">
        <f t="shared" si="4"/>
        <v>385.55</v>
      </c>
      <c r="F38" s="5">
        <f t="shared" si="5"/>
        <v>61080.282949873617</v>
      </c>
    </row>
    <row r="39" spans="1:6" x14ac:dyDescent="0.3">
      <c r="A39">
        <f t="shared" si="0"/>
        <v>188</v>
      </c>
      <c r="B39" s="2">
        <f t="shared" si="1"/>
        <v>47178</v>
      </c>
      <c r="C39" s="5">
        <f t="shared" si="2"/>
        <v>268.47945767940894</v>
      </c>
      <c r="D39" s="5">
        <f t="shared" si="3"/>
        <v>117.07054232059109</v>
      </c>
      <c r="E39" s="5">
        <f t="shared" si="4"/>
        <v>385.55</v>
      </c>
      <c r="F39" s="5">
        <f t="shared" si="5"/>
        <v>60811.803492194209</v>
      </c>
    </row>
    <row r="40" spans="1:6" x14ac:dyDescent="0.3">
      <c r="A40">
        <f t="shared" si="0"/>
        <v>187</v>
      </c>
      <c r="B40" s="2">
        <f t="shared" si="1"/>
        <v>47209</v>
      </c>
      <c r="C40" s="5">
        <f t="shared" si="2"/>
        <v>268.99404330662776</v>
      </c>
      <c r="D40" s="5">
        <f t="shared" si="3"/>
        <v>116.55595669337224</v>
      </c>
      <c r="E40" s="5">
        <f t="shared" si="4"/>
        <v>385.55</v>
      </c>
      <c r="F40" s="5">
        <f t="shared" si="5"/>
        <v>60542.809448887579</v>
      </c>
    </row>
    <row r="41" spans="1:6" x14ac:dyDescent="0.3">
      <c r="A41">
        <f t="shared" si="0"/>
        <v>186</v>
      </c>
      <c r="B41" s="2">
        <f t="shared" si="1"/>
        <v>47239</v>
      </c>
      <c r="C41" s="5">
        <f t="shared" si="2"/>
        <v>269.50961522296546</v>
      </c>
      <c r="D41" s="5">
        <f t="shared" si="3"/>
        <v>116.04038477703453</v>
      </c>
      <c r="E41" s="5">
        <f t="shared" si="4"/>
        <v>385.55</v>
      </c>
      <c r="F41" s="5">
        <f t="shared" si="5"/>
        <v>60273.299833664612</v>
      </c>
    </row>
    <row r="42" spans="1:6" x14ac:dyDescent="0.3">
      <c r="A42">
        <f t="shared" si="0"/>
        <v>185</v>
      </c>
      <c r="B42" s="2">
        <f t="shared" si="1"/>
        <v>47270</v>
      </c>
      <c r="C42" s="5">
        <f t="shared" si="2"/>
        <v>270.02617531880952</v>
      </c>
      <c r="D42" s="5">
        <f t="shared" si="3"/>
        <v>115.5238246811905</v>
      </c>
      <c r="E42" s="5">
        <f t="shared" si="4"/>
        <v>385.55</v>
      </c>
      <c r="F42" s="5">
        <f t="shared" si="5"/>
        <v>60003.273658345803</v>
      </c>
    </row>
    <row r="43" spans="1:6" x14ac:dyDescent="0.3">
      <c r="A43">
        <f t="shared" si="0"/>
        <v>184</v>
      </c>
      <c r="B43" s="2">
        <f t="shared" si="1"/>
        <v>47300</v>
      </c>
      <c r="C43" s="5">
        <f t="shared" si="2"/>
        <v>270.54372548817054</v>
      </c>
      <c r="D43" s="5">
        <f t="shared" si="3"/>
        <v>115.00627451182946</v>
      </c>
      <c r="E43" s="5">
        <f t="shared" si="4"/>
        <v>385.55</v>
      </c>
      <c r="F43" s="5">
        <f t="shared" si="5"/>
        <v>59732.729932857634</v>
      </c>
    </row>
    <row r="44" spans="1:6" x14ac:dyDescent="0.3">
      <c r="A44">
        <f t="shared" si="0"/>
        <v>183</v>
      </c>
      <c r="B44" s="2">
        <f t="shared" si="1"/>
        <v>47331</v>
      </c>
      <c r="C44" s="5">
        <f t="shared" si="2"/>
        <v>271.06226762868954</v>
      </c>
      <c r="D44" s="5">
        <f t="shared" si="3"/>
        <v>114.48773237131047</v>
      </c>
      <c r="E44" s="5">
        <f t="shared" si="4"/>
        <v>385.55</v>
      </c>
      <c r="F44" s="5">
        <f t="shared" si="5"/>
        <v>59461.667665228946</v>
      </c>
    </row>
    <row r="45" spans="1:6" x14ac:dyDescent="0.3">
      <c r="A45">
        <f t="shared" si="0"/>
        <v>182</v>
      </c>
      <c r="B45" s="2">
        <f t="shared" si="1"/>
        <v>47362</v>
      </c>
      <c r="C45" s="5">
        <f t="shared" si="2"/>
        <v>271.58180364164451</v>
      </c>
      <c r="D45" s="5">
        <f t="shared" si="3"/>
        <v>113.96819635835548</v>
      </c>
      <c r="E45" s="5">
        <f t="shared" si="4"/>
        <v>385.55</v>
      </c>
      <c r="F45" s="5">
        <f t="shared" si="5"/>
        <v>59190.0858615873</v>
      </c>
    </row>
    <row r="46" spans="1:6" x14ac:dyDescent="0.3">
      <c r="A46">
        <f t="shared" si="0"/>
        <v>181</v>
      </c>
      <c r="B46" s="2">
        <f t="shared" si="1"/>
        <v>47392</v>
      </c>
      <c r="C46" s="5">
        <f t="shared" si="2"/>
        <v>272.10233543195767</v>
      </c>
      <c r="D46" s="5">
        <f t="shared" si="3"/>
        <v>113.44766456804233</v>
      </c>
      <c r="E46" s="5">
        <f t="shared" si="4"/>
        <v>385.55</v>
      </c>
      <c r="F46" s="5">
        <f t="shared" si="5"/>
        <v>58917.983526155345</v>
      </c>
    </row>
    <row r="47" spans="1:6" x14ac:dyDescent="0.3">
      <c r="A47">
        <f t="shared" si="0"/>
        <v>180</v>
      </c>
      <c r="B47" s="2">
        <f t="shared" si="1"/>
        <v>47423</v>
      </c>
      <c r="C47" s="5">
        <f t="shared" si="2"/>
        <v>272.62386490820228</v>
      </c>
      <c r="D47" s="5">
        <f t="shared" si="3"/>
        <v>112.92613509179775</v>
      </c>
      <c r="E47" s="5">
        <f t="shared" si="4"/>
        <v>385.55</v>
      </c>
      <c r="F47" s="5">
        <f t="shared" si="5"/>
        <v>58645.359661247145</v>
      </c>
    </row>
    <row r="48" spans="1:6" x14ac:dyDescent="0.3">
      <c r="A48">
        <f t="shared" si="0"/>
        <v>179</v>
      </c>
      <c r="B48" s="2">
        <f t="shared" si="1"/>
        <v>47453</v>
      </c>
      <c r="C48" s="5">
        <f t="shared" si="2"/>
        <v>273.14639398260965</v>
      </c>
      <c r="D48" s="5">
        <f t="shared" si="3"/>
        <v>112.40360601739036</v>
      </c>
      <c r="E48" s="5">
        <f t="shared" si="4"/>
        <v>385.55</v>
      </c>
      <c r="F48" s="5">
        <f t="shared" si="5"/>
        <v>58372.213267264538</v>
      </c>
    </row>
    <row r="49" spans="1:6" x14ac:dyDescent="0.3">
      <c r="A49">
        <f t="shared" si="0"/>
        <v>178</v>
      </c>
      <c r="B49" s="2">
        <f t="shared" si="1"/>
        <v>47484</v>
      </c>
      <c r="C49" s="5">
        <f t="shared" si="2"/>
        <v>273.66992457107631</v>
      </c>
      <c r="D49" s="5">
        <f t="shared" si="3"/>
        <v>111.8800754289237</v>
      </c>
      <c r="E49" s="5">
        <f t="shared" si="4"/>
        <v>385.55</v>
      </c>
      <c r="F49" s="5">
        <f t="shared" si="5"/>
        <v>58098.543342693461</v>
      </c>
    </row>
    <row r="50" spans="1:6" x14ac:dyDescent="0.3">
      <c r="A50">
        <f t="shared" si="0"/>
        <v>177</v>
      </c>
      <c r="B50" s="2">
        <f t="shared" si="1"/>
        <v>47515</v>
      </c>
      <c r="C50" s="5">
        <f t="shared" si="2"/>
        <v>274.19445859317091</v>
      </c>
      <c r="D50" s="5">
        <f t="shared" si="3"/>
        <v>111.35554140682912</v>
      </c>
      <c r="E50" s="5">
        <f t="shared" si="4"/>
        <v>385.55</v>
      </c>
      <c r="F50" s="5">
        <f t="shared" si="5"/>
        <v>57824.348884100291</v>
      </c>
    </row>
    <row r="51" spans="1:6" x14ac:dyDescent="0.3">
      <c r="A51">
        <f t="shared" si="0"/>
        <v>176</v>
      </c>
      <c r="B51" s="2">
        <f t="shared" si="1"/>
        <v>47543</v>
      </c>
      <c r="C51" s="5">
        <f t="shared" si="2"/>
        <v>274.71999797214113</v>
      </c>
      <c r="D51" s="5">
        <f t="shared" si="3"/>
        <v>110.83000202785888</v>
      </c>
      <c r="E51" s="5">
        <f t="shared" si="4"/>
        <v>385.55</v>
      </c>
      <c r="F51" s="5">
        <f t="shared" si="5"/>
        <v>57549.62888612815</v>
      </c>
    </row>
    <row r="52" spans="1:6" x14ac:dyDescent="0.3">
      <c r="A52">
        <f t="shared" si="0"/>
        <v>175</v>
      </c>
      <c r="B52" s="2">
        <f t="shared" si="1"/>
        <v>47574</v>
      </c>
      <c r="C52" s="5">
        <f t="shared" si="2"/>
        <v>275.24654463492107</v>
      </c>
      <c r="D52" s="5">
        <f t="shared" si="3"/>
        <v>110.30345536507895</v>
      </c>
      <c r="E52" s="5">
        <f t="shared" si="4"/>
        <v>385.55</v>
      </c>
      <c r="F52" s="5">
        <f t="shared" si="5"/>
        <v>57274.382341493227</v>
      </c>
    </row>
    <row r="53" spans="1:6" x14ac:dyDescent="0.3">
      <c r="A53">
        <f t="shared" si="0"/>
        <v>174</v>
      </c>
      <c r="B53" s="2">
        <f t="shared" si="1"/>
        <v>47604</v>
      </c>
      <c r="C53" s="5">
        <f t="shared" si="2"/>
        <v>275.77410051213798</v>
      </c>
      <c r="D53" s="5">
        <f t="shared" si="3"/>
        <v>109.77589948786202</v>
      </c>
      <c r="E53" s="5">
        <f t="shared" si="4"/>
        <v>385.55</v>
      </c>
      <c r="F53" s="5">
        <f t="shared" si="5"/>
        <v>56998.608240981092</v>
      </c>
    </row>
    <row r="54" spans="1:6" x14ac:dyDescent="0.3">
      <c r="A54">
        <f t="shared" si="0"/>
        <v>173</v>
      </c>
      <c r="B54" s="2">
        <f t="shared" si="1"/>
        <v>47635</v>
      </c>
      <c r="C54" s="5">
        <f t="shared" si="2"/>
        <v>276.30266753811958</v>
      </c>
      <c r="D54" s="5">
        <f t="shared" si="3"/>
        <v>109.24733246188043</v>
      </c>
      <c r="E54" s="5">
        <f t="shared" si="4"/>
        <v>385.55</v>
      </c>
      <c r="F54" s="5">
        <f t="shared" si="5"/>
        <v>56722.305573442973</v>
      </c>
    </row>
    <row r="55" spans="1:6" x14ac:dyDescent="0.3">
      <c r="A55">
        <f t="shared" si="0"/>
        <v>172</v>
      </c>
      <c r="B55" s="2">
        <f t="shared" si="1"/>
        <v>47665</v>
      </c>
      <c r="C55" s="5">
        <f t="shared" si="2"/>
        <v>276.83224765090097</v>
      </c>
      <c r="D55" s="5">
        <f t="shared" si="3"/>
        <v>108.71775234909903</v>
      </c>
      <c r="E55" s="5">
        <f t="shared" si="4"/>
        <v>385.55</v>
      </c>
      <c r="F55" s="5">
        <f t="shared" si="5"/>
        <v>56445.473325792074</v>
      </c>
    </row>
    <row r="56" spans="1:6" x14ac:dyDescent="0.3">
      <c r="A56">
        <f t="shared" si="0"/>
        <v>171</v>
      </c>
      <c r="B56" s="2">
        <f t="shared" si="1"/>
        <v>47696</v>
      </c>
      <c r="C56" s="5">
        <f t="shared" si="2"/>
        <v>277.36284279223185</v>
      </c>
      <c r="D56" s="5">
        <f t="shared" si="3"/>
        <v>108.18715720776815</v>
      </c>
      <c r="E56" s="5">
        <f t="shared" si="4"/>
        <v>385.55</v>
      </c>
      <c r="F56" s="5">
        <f t="shared" si="5"/>
        <v>56168.110482999844</v>
      </c>
    </row>
    <row r="57" spans="1:6" x14ac:dyDescent="0.3">
      <c r="A57">
        <f t="shared" si="0"/>
        <v>170</v>
      </c>
      <c r="B57" s="2">
        <f t="shared" si="1"/>
        <v>47727</v>
      </c>
      <c r="C57" s="5">
        <f t="shared" si="2"/>
        <v>277.89445490758362</v>
      </c>
      <c r="D57" s="5">
        <f t="shared" si="3"/>
        <v>107.65554509241638</v>
      </c>
      <c r="E57" s="5">
        <f t="shared" si="4"/>
        <v>385.55</v>
      </c>
      <c r="F57" s="5">
        <f t="shared" si="5"/>
        <v>55890.216028092262</v>
      </c>
    </row>
    <row r="58" spans="1:6" x14ac:dyDescent="0.3">
      <c r="A58">
        <f t="shared" si="0"/>
        <v>169</v>
      </c>
      <c r="B58" s="2">
        <f t="shared" si="1"/>
        <v>47757</v>
      </c>
      <c r="C58" s="5">
        <f t="shared" si="2"/>
        <v>278.42708594615652</v>
      </c>
      <c r="D58" s="5">
        <f t="shared" si="3"/>
        <v>107.1229140538435</v>
      </c>
      <c r="E58" s="5">
        <f t="shared" si="4"/>
        <v>385.55</v>
      </c>
      <c r="F58" s="5">
        <f t="shared" si="5"/>
        <v>55611.788942146108</v>
      </c>
    </row>
    <row r="59" spans="1:6" x14ac:dyDescent="0.3">
      <c r="A59">
        <f t="shared" si="0"/>
        <v>168</v>
      </c>
      <c r="B59" s="2">
        <f t="shared" si="1"/>
        <v>47788</v>
      </c>
      <c r="C59" s="5">
        <f t="shared" si="2"/>
        <v>278.96073786088664</v>
      </c>
      <c r="D59" s="5">
        <f t="shared" si="3"/>
        <v>106.58926213911337</v>
      </c>
      <c r="E59" s="5">
        <f t="shared" si="4"/>
        <v>385.55</v>
      </c>
      <c r="F59" s="5">
        <f t="shared" si="5"/>
        <v>55332.828204285222</v>
      </c>
    </row>
    <row r="60" spans="1:6" x14ac:dyDescent="0.3">
      <c r="A60">
        <f t="shared" si="0"/>
        <v>167</v>
      </c>
      <c r="B60" s="2">
        <f t="shared" si="1"/>
        <v>47818</v>
      </c>
      <c r="C60" s="5">
        <f t="shared" si="2"/>
        <v>279.49541260845336</v>
      </c>
      <c r="D60" s="5">
        <f t="shared" si="3"/>
        <v>106.05458739154666</v>
      </c>
      <c r="E60" s="5">
        <f t="shared" si="4"/>
        <v>385.55</v>
      </c>
      <c r="F60" s="5">
        <f t="shared" si="5"/>
        <v>55053.332791676767</v>
      </c>
    </row>
    <row r="61" spans="1:6" x14ac:dyDescent="0.3">
      <c r="A61">
        <f t="shared" si="0"/>
        <v>166</v>
      </c>
      <c r="B61" s="2">
        <f t="shared" si="1"/>
        <v>47849</v>
      </c>
      <c r="C61" s="5">
        <f t="shared" si="2"/>
        <v>280.03111214928623</v>
      </c>
      <c r="D61" s="5">
        <f t="shared" si="3"/>
        <v>105.5188878507138</v>
      </c>
      <c r="E61" s="5">
        <f t="shared" si="4"/>
        <v>385.55</v>
      </c>
      <c r="F61" s="5">
        <f t="shared" si="5"/>
        <v>54773.301679527482</v>
      </c>
    </row>
    <row r="62" spans="1:6" x14ac:dyDescent="0.3">
      <c r="A62">
        <f t="shared" si="0"/>
        <v>165</v>
      </c>
      <c r="B62" s="2">
        <f t="shared" si="1"/>
        <v>47880</v>
      </c>
      <c r="C62" s="5">
        <f t="shared" si="2"/>
        <v>280.56783844757234</v>
      </c>
      <c r="D62" s="5">
        <f t="shared" si="3"/>
        <v>104.98216155242767</v>
      </c>
      <c r="E62" s="5">
        <f t="shared" si="4"/>
        <v>385.55</v>
      </c>
      <c r="F62" s="5">
        <f t="shared" si="5"/>
        <v>54492.733841079906</v>
      </c>
    </row>
    <row r="63" spans="1:6" x14ac:dyDescent="0.3">
      <c r="A63">
        <f t="shared" si="0"/>
        <v>164</v>
      </c>
      <c r="B63" s="2">
        <f t="shared" si="1"/>
        <v>47908</v>
      </c>
      <c r="C63" s="5">
        <f t="shared" si="2"/>
        <v>281.10559347126355</v>
      </c>
      <c r="D63" s="5">
        <f t="shared" si="3"/>
        <v>104.44440652873648</v>
      </c>
      <c r="E63" s="5">
        <f t="shared" si="4"/>
        <v>385.55</v>
      </c>
      <c r="F63" s="5">
        <f t="shared" si="5"/>
        <v>54211.628247608642</v>
      </c>
    </row>
    <row r="64" spans="1:6" x14ac:dyDescent="0.3">
      <c r="A64">
        <f t="shared" si="0"/>
        <v>163</v>
      </c>
      <c r="B64" s="2">
        <f t="shared" si="1"/>
        <v>47939</v>
      </c>
      <c r="C64" s="5">
        <f t="shared" si="2"/>
        <v>281.64437919208348</v>
      </c>
      <c r="D64" s="5">
        <f t="shared" si="3"/>
        <v>103.90562080791655</v>
      </c>
      <c r="E64" s="5">
        <f t="shared" si="4"/>
        <v>385.55</v>
      </c>
      <c r="F64" s="5">
        <f t="shared" si="5"/>
        <v>53929.983868416559</v>
      </c>
    </row>
    <row r="65" spans="1:6" x14ac:dyDescent="0.3">
      <c r="A65">
        <f t="shared" si="0"/>
        <v>162</v>
      </c>
      <c r="B65" s="2">
        <f t="shared" si="1"/>
        <v>47969</v>
      </c>
      <c r="C65" s="5">
        <f t="shared" si="2"/>
        <v>282.18419758553495</v>
      </c>
      <c r="D65" s="5">
        <f t="shared" si="3"/>
        <v>103.36580241446507</v>
      </c>
      <c r="E65" s="5">
        <f t="shared" si="4"/>
        <v>385.55</v>
      </c>
      <c r="F65" s="5">
        <f t="shared" si="5"/>
        <v>53647.799670831024</v>
      </c>
    </row>
    <row r="66" spans="1:6" x14ac:dyDescent="0.3">
      <c r="A66">
        <f t="shared" si="0"/>
        <v>161</v>
      </c>
      <c r="B66" s="2">
        <f t="shared" si="1"/>
        <v>48000</v>
      </c>
      <c r="C66" s="5">
        <f t="shared" si="2"/>
        <v>282.72505063090722</v>
      </c>
      <c r="D66" s="5">
        <f t="shared" si="3"/>
        <v>102.82494936909279</v>
      </c>
      <c r="E66" s="5">
        <f t="shared" si="4"/>
        <v>385.55</v>
      </c>
      <c r="F66" s="5">
        <f t="shared" si="5"/>
        <v>53365.074620200117</v>
      </c>
    </row>
    <row r="67" spans="1:6" x14ac:dyDescent="0.3">
      <c r="A67">
        <f t="shared" si="0"/>
        <v>160</v>
      </c>
      <c r="B67" s="2">
        <f t="shared" si="1"/>
        <v>48030</v>
      </c>
      <c r="C67" s="5">
        <f t="shared" si="2"/>
        <v>283.26694031128312</v>
      </c>
      <c r="D67" s="5">
        <f t="shared" si="3"/>
        <v>102.28305968871689</v>
      </c>
      <c r="E67" s="5">
        <f t="shared" si="4"/>
        <v>385.55</v>
      </c>
      <c r="F67" s="5">
        <f t="shared" si="5"/>
        <v>53081.807679888836</v>
      </c>
    </row>
    <row r="68" spans="1:6" x14ac:dyDescent="0.3">
      <c r="A68">
        <f t="shared" si="0"/>
        <v>159</v>
      </c>
      <c r="B68" s="2">
        <f t="shared" si="1"/>
        <v>48061</v>
      </c>
      <c r="C68" s="5">
        <f t="shared" si="2"/>
        <v>283.80986861354643</v>
      </c>
      <c r="D68" s="5">
        <f t="shared" si="3"/>
        <v>101.7401313864536</v>
      </c>
      <c r="E68" s="5">
        <f t="shared" si="4"/>
        <v>385.55</v>
      </c>
      <c r="F68" s="5">
        <f t="shared" si="5"/>
        <v>52797.997811275287</v>
      </c>
    </row>
    <row r="69" spans="1:6" x14ac:dyDescent="0.3">
      <c r="A69">
        <f t="shared" si="0"/>
        <v>158</v>
      </c>
      <c r="B69" s="2">
        <f t="shared" si="1"/>
        <v>48092</v>
      </c>
      <c r="C69" s="5">
        <f t="shared" si="2"/>
        <v>284.35383752838902</v>
      </c>
      <c r="D69" s="5">
        <f t="shared" si="3"/>
        <v>101.19616247161098</v>
      </c>
      <c r="E69" s="5">
        <f t="shared" si="4"/>
        <v>385.55</v>
      </c>
      <c r="F69" s="5">
        <f t="shared" si="5"/>
        <v>52513.643973746897</v>
      </c>
    </row>
    <row r="70" spans="1:6" x14ac:dyDescent="0.3">
      <c r="A70">
        <f t="shared" si="0"/>
        <v>157</v>
      </c>
      <c r="B70" s="2">
        <f t="shared" si="1"/>
        <v>48122</v>
      </c>
      <c r="C70" s="5">
        <f t="shared" si="2"/>
        <v>284.89884905031846</v>
      </c>
      <c r="D70" s="5">
        <f t="shared" si="3"/>
        <v>100.65115094968155</v>
      </c>
      <c r="E70" s="5">
        <f t="shared" si="4"/>
        <v>385.55</v>
      </c>
      <c r="F70" s="5">
        <f t="shared" si="5"/>
        <v>52228.745124696579</v>
      </c>
    </row>
    <row r="71" spans="1:6" x14ac:dyDescent="0.3">
      <c r="A71">
        <f t="shared" si="0"/>
        <v>156</v>
      </c>
      <c r="B71" s="2">
        <f t="shared" si="1"/>
        <v>48153</v>
      </c>
      <c r="C71" s="5">
        <f t="shared" si="2"/>
        <v>285.44490517766491</v>
      </c>
      <c r="D71" s="5">
        <f t="shared" si="3"/>
        <v>100.1050948223351</v>
      </c>
      <c r="E71" s="5">
        <f t="shared" si="4"/>
        <v>385.55</v>
      </c>
      <c r="F71" s="5">
        <f t="shared" si="5"/>
        <v>51943.300219518911</v>
      </c>
    </row>
    <row r="72" spans="1:6" x14ac:dyDescent="0.3">
      <c r="A72">
        <f t="shared" si="0"/>
        <v>155</v>
      </c>
      <c r="B72" s="2">
        <f t="shared" si="1"/>
        <v>48183</v>
      </c>
      <c r="C72" s="5">
        <f t="shared" si="2"/>
        <v>285.99200791258875</v>
      </c>
      <c r="D72" s="5">
        <f t="shared" si="3"/>
        <v>99.55799208741125</v>
      </c>
      <c r="E72" s="5">
        <f t="shared" si="4"/>
        <v>385.55</v>
      </c>
      <c r="F72" s="5">
        <f t="shared" si="5"/>
        <v>51657.308211606323</v>
      </c>
    </row>
    <row r="73" spans="1:6" x14ac:dyDescent="0.3">
      <c r="A73">
        <f t="shared" ref="A73:A136" si="6">A72-1</f>
        <v>154</v>
      </c>
      <c r="B73" s="2">
        <f t="shared" si="1"/>
        <v>48214</v>
      </c>
      <c r="C73" s="5">
        <f t="shared" si="2"/>
        <v>286.54015926108787</v>
      </c>
      <c r="D73" s="5">
        <f t="shared" si="3"/>
        <v>99.009840738912132</v>
      </c>
      <c r="E73" s="5">
        <f t="shared" si="4"/>
        <v>385.55</v>
      </c>
      <c r="F73" s="5">
        <f t="shared" si="5"/>
        <v>51370.768052345236</v>
      </c>
    </row>
    <row r="74" spans="1:6" x14ac:dyDescent="0.3">
      <c r="A74">
        <f t="shared" si="6"/>
        <v>153</v>
      </c>
      <c r="B74" s="2">
        <f t="shared" ref="B74:B137" si="7">EDATE(B73,1)</f>
        <v>48245</v>
      </c>
      <c r="C74" s="5">
        <f t="shared" ref="C74:C137" si="8">$C$2-D74</f>
        <v>287.08936123300498</v>
      </c>
      <c r="D74" s="5">
        <f t="shared" ref="D74:D137" si="9">F73*$B$2/12</f>
        <v>98.460638766995032</v>
      </c>
      <c r="E74" s="5">
        <f t="shared" ref="E74:E137" si="10">$C$2</f>
        <v>385.55</v>
      </c>
      <c r="F74" s="5">
        <f t="shared" ref="F74:F137" si="11">F73-C74</f>
        <v>51083.678691112233</v>
      </c>
    </row>
    <row r="75" spans="1:6" x14ac:dyDescent="0.3">
      <c r="A75">
        <f t="shared" si="6"/>
        <v>152</v>
      </c>
      <c r="B75" s="2">
        <f t="shared" si="7"/>
        <v>48274</v>
      </c>
      <c r="C75" s="5">
        <f t="shared" si="8"/>
        <v>287.63961584203491</v>
      </c>
      <c r="D75" s="5">
        <f t="shared" si="9"/>
        <v>97.910384157965112</v>
      </c>
      <c r="E75" s="5">
        <f t="shared" si="10"/>
        <v>385.55</v>
      </c>
      <c r="F75" s="5">
        <f t="shared" si="11"/>
        <v>50796.039075270201</v>
      </c>
    </row>
    <row r="76" spans="1:6" x14ac:dyDescent="0.3">
      <c r="A76">
        <f t="shared" si="6"/>
        <v>151</v>
      </c>
      <c r="B76" s="2">
        <f t="shared" si="7"/>
        <v>48305</v>
      </c>
      <c r="C76" s="5">
        <f t="shared" si="8"/>
        <v>288.19092510573211</v>
      </c>
      <c r="D76" s="5">
        <f t="shared" si="9"/>
        <v>97.359074894267891</v>
      </c>
      <c r="E76" s="5">
        <f t="shared" si="10"/>
        <v>385.55</v>
      </c>
      <c r="F76" s="5">
        <f t="shared" si="11"/>
        <v>50507.848150164471</v>
      </c>
    </row>
    <row r="77" spans="1:6" x14ac:dyDescent="0.3">
      <c r="A77">
        <f t="shared" si="6"/>
        <v>150</v>
      </c>
      <c r="B77" s="2">
        <f t="shared" si="7"/>
        <v>48335</v>
      </c>
      <c r="C77" s="5">
        <f t="shared" si="8"/>
        <v>288.74329104551811</v>
      </c>
      <c r="D77" s="5">
        <f t="shared" si="9"/>
        <v>96.806708954481905</v>
      </c>
      <c r="E77" s="5">
        <f t="shared" si="10"/>
        <v>385.55</v>
      </c>
      <c r="F77" s="5">
        <f t="shared" si="11"/>
        <v>50219.104859118954</v>
      </c>
    </row>
    <row r="78" spans="1:6" x14ac:dyDescent="0.3">
      <c r="A78">
        <f t="shared" si="6"/>
        <v>149</v>
      </c>
      <c r="B78" s="2">
        <f t="shared" si="7"/>
        <v>48366</v>
      </c>
      <c r="C78" s="5">
        <f t="shared" si="8"/>
        <v>289.29671568668869</v>
      </c>
      <c r="D78" s="5">
        <f t="shared" si="9"/>
        <v>96.253284313311326</v>
      </c>
      <c r="E78" s="5">
        <f t="shared" si="10"/>
        <v>385.55</v>
      </c>
      <c r="F78" s="5">
        <f t="shared" si="11"/>
        <v>49929.808143432267</v>
      </c>
    </row>
    <row r="79" spans="1:6" x14ac:dyDescent="0.3">
      <c r="A79">
        <f t="shared" si="6"/>
        <v>148</v>
      </c>
      <c r="B79" s="2">
        <f t="shared" si="7"/>
        <v>48396</v>
      </c>
      <c r="C79" s="5">
        <f t="shared" si="8"/>
        <v>289.85120105842151</v>
      </c>
      <c r="D79" s="5">
        <f t="shared" si="9"/>
        <v>95.698798941578502</v>
      </c>
      <c r="E79" s="5">
        <f t="shared" si="10"/>
        <v>385.55</v>
      </c>
      <c r="F79" s="5">
        <f t="shared" si="11"/>
        <v>49639.956942373843</v>
      </c>
    </row>
    <row r="80" spans="1:6" x14ac:dyDescent="0.3">
      <c r="A80">
        <f t="shared" si="6"/>
        <v>147</v>
      </c>
      <c r="B80" s="2">
        <f t="shared" si="7"/>
        <v>48427</v>
      </c>
      <c r="C80" s="5">
        <f t="shared" si="8"/>
        <v>290.40674919378347</v>
      </c>
      <c r="D80" s="5">
        <f t="shared" si="9"/>
        <v>95.143250806216528</v>
      </c>
      <c r="E80" s="5">
        <f t="shared" si="10"/>
        <v>385.55</v>
      </c>
      <c r="F80" s="5">
        <f t="shared" si="11"/>
        <v>49349.550193180061</v>
      </c>
    </row>
    <row r="81" spans="1:6" x14ac:dyDescent="0.3">
      <c r="A81">
        <f t="shared" si="6"/>
        <v>146</v>
      </c>
      <c r="B81" s="2">
        <f t="shared" si="7"/>
        <v>48458</v>
      </c>
      <c r="C81" s="5">
        <f t="shared" si="8"/>
        <v>290.96336212973824</v>
      </c>
      <c r="D81" s="5">
        <f t="shared" si="9"/>
        <v>94.586637870261782</v>
      </c>
      <c r="E81" s="5">
        <f t="shared" si="10"/>
        <v>385.55</v>
      </c>
      <c r="F81" s="5">
        <f t="shared" si="11"/>
        <v>49058.586831050321</v>
      </c>
    </row>
    <row r="82" spans="1:6" x14ac:dyDescent="0.3">
      <c r="A82">
        <f t="shared" si="6"/>
        <v>145</v>
      </c>
      <c r="B82" s="2">
        <f t="shared" si="7"/>
        <v>48488</v>
      </c>
      <c r="C82" s="5">
        <f t="shared" si="8"/>
        <v>291.52104190715357</v>
      </c>
      <c r="D82" s="5">
        <f t="shared" si="9"/>
        <v>94.028958092846452</v>
      </c>
      <c r="E82" s="5">
        <f t="shared" si="10"/>
        <v>385.55</v>
      </c>
      <c r="F82" s="5">
        <f t="shared" si="11"/>
        <v>48767.065789143169</v>
      </c>
    </row>
    <row r="83" spans="1:6" x14ac:dyDescent="0.3">
      <c r="A83">
        <f t="shared" si="6"/>
        <v>144</v>
      </c>
      <c r="B83" s="2">
        <f t="shared" si="7"/>
        <v>48519</v>
      </c>
      <c r="C83" s="5">
        <f t="shared" si="8"/>
        <v>292.07979057080894</v>
      </c>
      <c r="D83" s="5">
        <f t="shared" si="9"/>
        <v>93.470209429191073</v>
      </c>
      <c r="E83" s="5">
        <f t="shared" si="10"/>
        <v>385.55</v>
      </c>
      <c r="F83" s="5">
        <f t="shared" si="11"/>
        <v>48474.98599857236</v>
      </c>
    </row>
    <row r="84" spans="1:6" x14ac:dyDescent="0.3">
      <c r="A84">
        <f t="shared" si="6"/>
        <v>143</v>
      </c>
      <c r="B84" s="2">
        <f t="shared" si="7"/>
        <v>48549</v>
      </c>
      <c r="C84" s="5">
        <f t="shared" si="8"/>
        <v>292.639610169403</v>
      </c>
      <c r="D84" s="5">
        <f t="shared" si="9"/>
        <v>92.910389830597012</v>
      </c>
      <c r="E84" s="5">
        <f t="shared" si="10"/>
        <v>385.55</v>
      </c>
      <c r="F84" s="5">
        <f t="shared" si="11"/>
        <v>48182.346388402955</v>
      </c>
    </row>
    <row r="85" spans="1:6" x14ac:dyDescent="0.3">
      <c r="A85">
        <f t="shared" si="6"/>
        <v>142</v>
      </c>
      <c r="B85" s="2">
        <f t="shared" si="7"/>
        <v>48580</v>
      </c>
      <c r="C85" s="5">
        <f t="shared" si="8"/>
        <v>293.20050275556099</v>
      </c>
      <c r="D85" s="5">
        <f t="shared" si="9"/>
        <v>92.349497244439007</v>
      </c>
      <c r="E85" s="5">
        <f t="shared" si="10"/>
        <v>385.55</v>
      </c>
      <c r="F85" s="5">
        <f t="shared" si="11"/>
        <v>47889.145885647391</v>
      </c>
    </row>
    <row r="86" spans="1:6" x14ac:dyDescent="0.3">
      <c r="A86">
        <f t="shared" si="6"/>
        <v>141</v>
      </c>
      <c r="B86" s="2">
        <f t="shared" si="7"/>
        <v>48611</v>
      </c>
      <c r="C86" s="5">
        <f t="shared" si="8"/>
        <v>293.76247038584251</v>
      </c>
      <c r="D86" s="5">
        <f t="shared" si="9"/>
        <v>91.787529614157506</v>
      </c>
      <c r="E86" s="5">
        <f t="shared" si="10"/>
        <v>385.55</v>
      </c>
      <c r="F86" s="5">
        <f t="shared" si="11"/>
        <v>47595.383415261545</v>
      </c>
    </row>
    <row r="87" spans="1:6" x14ac:dyDescent="0.3">
      <c r="A87">
        <f t="shared" si="6"/>
        <v>140</v>
      </c>
      <c r="B87" s="2">
        <f t="shared" si="7"/>
        <v>48639</v>
      </c>
      <c r="C87" s="5">
        <f t="shared" si="8"/>
        <v>294.32551512074872</v>
      </c>
      <c r="D87" s="5">
        <f t="shared" si="9"/>
        <v>91.224484879251293</v>
      </c>
      <c r="E87" s="5">
        <f t="shared" si="10"/>
        <v>385.55</v>
      </c>
      <c r="F87" s="5">
        <f t="shared" si="11"/>
        <v>47301.057900140797</v>
      </c>
    </row>
    <row r="88" spans="1:6" x14ac:dyDescent="0.3">
      <c r="A88">
        <f t="shared" si="6"/>
        <v>139</v>
      </c>
      <c r="B88" s="2">
        <f t="shared" si="7"/>
        <v>48670</v>
      </c>
      <c r="C88" s="5">
        <f t="shared" si="8"/>
        <v>294.88963902473017</v>
      </c>
      <c r="D88" s="5">
        <f t="shared" si="9"/>
        <v>90.660360975269853</v>
      </c>
      <c r="E88" s="5">
        <f t="shared" si="10"/>
        <v>385.55</v>
      </c>
      <c r="F88" s="5">
        <f t="shared" si="11"/>
        <v>47006.168261116065</v>
      </c>
    </row>
    <row r="89" spans="1:6" x14ac:dyDescent="0.3">
      <c r="A89">
        <f t="shared" si="6"/>
        <v>138</v>
      </c>
      <c r="B89" s="2">
        <f t="shared" si="7"/>
        <v>48700</v>
      </c>
      <c r="C89" s="5">
        <f t="shared" si="8"/>
        <v>295.45484416619422</v>
      </c>
      <c r="D89" s="5">
        <f t="shared" si="9"/>
        <v>90.095155833805791</v>
      </c>
      <c r="E89" s="5">
        <f t="shared" si="10"/>
        <v>385.55</v>
      </c>
      <c r="F89" s="5">
        <f t="shared" si="11"/>
        <v>46710.713416949868</v>
      </c>
    </row>
    <row r="90" spans="1:6" x14ac:dyDescent="0.3">
      <c r="A90">
        <f t="shared" si="6"/>
        <v>137</v>
      </c>
      <c r="B90" s="2">
        <f t="shared" si="7"/>
        <v>48731</v>
      </c>
      <c r="C90" s="5">
        <f t="shared" si="8"/>
        <v>296.02113261751276</v>
      </c>
      <c r="D90" s="5">
        <f t="shared" si="9"/>
        <v>89.528867382487249</v>
      </c>
      <c r="E90" s="5">
        <f t="shared" si="10"/>
        <v>385.55</v>
      </c>
      <c r="F90" s="5">
        <f t="shared" si="11"/>
        <v>46414.692284332355</v>
      </c>
    </row>
    <row r="91" spans="1:6" x14ac:dyDescent="0.3">
      <c r="A91">
        <f t="shared" si="6"/>
        <v>136</v>
      </c>
      <c r="B91" s="2">
        <f t="shared" si="7"/>
        <v>48761</v>
      </c>
      <c r="C91" s="5">
        <f t="shared" si="8"/>
        <v>296.58850645502969</v>
      </c>
      <c r="D91" s="5">
        <f t="shared" si="9"/>
        <v>88.961493544970338</v>
      </c>
      <c r="E91" s="5">
        <f t="shared" si="10"/>
        <v>385.55</v>
      </c>
      <c r="F91" s="5">
        <f t="shared" si="11"/>
        <v>46118.103777877324</v>
      </c>
    </row>
    <row r="92" spans="1:6" x14ac:dyDescent="0.3">
      <c r="A92">
        <f t="shared" si="6"/>
        <v>135</v>
      </c>
      <c r="B92" s="2">
        <f t="shared" si="7"/>
        <v>48792</v>
      </c>
      <c r="C92" s="5">
        <f t="shared" si="8"/>
        <v>297.15696775906849</v>
      </c>
      <c r="D92" s="5">
        <f t="shared" si="9"/>
        <v>88.393032240931532</v>
      </c>
      <c r="E92" s="5">
        <f t="shared" si="10"/>
        <v>385.55</v>
      </c>
      <c r="F92" s="5">
        <f t="shared" si="11"/>
        <v>45820.946810118257</v>
      </c>
    </row>
    <row r="93" spans="1:6" x14ac:dyDescent="0.3">
      <c r="A93">
        <f t="shared" si="6"/>
        <v>134</v>
      </c>
      <c r="B93" s="2">
        <f t="shared" si="7"/>
        <v>48823</v>
      </c>
      <c r="C93" s="5">
        <f t="shared" si="8"/>
        <v>297.72651861394002</v>
      </c>
      <c r="D93" s="5">
        <f t="shared" si="9"/>
        <v>87.823481386059996</v>
      </c>
      <c r="E93" s="5">
        <f t="shared" si="10"/>
        <v>385.55</v>
      </c>
      <c r="F93" s="5">
        <f t="shared" si="11"/>
        <v>45523.220291504316</v>
      </c>
    </row>
    <row r="94" spans="1:6" x14ac:dyDescent="0.3">
      <c r="A94">
        <f t="shared" si="6"/>
        <v>133</v>
      </c>
      <c r="B94" s="2">
        <f t="shared" si="7"/>
        <v>48853</v>
      </c>
      <c r="C94" s="5">
        <f t="shared" si="8"/>
        <v>298.29716110795005</v>
      </c>
      <c r="D94" s="5">
        <f t="shared" si="9"/>
        <v>87.252838892049951</v>
      </c>
      <c r="E94" s="5">
        <f t="shared" si="10"/>
        <v>385.55</v>
      </c>
      <c r="F94" s="5">
        <f t="shared" si="11"/>
        <v>45224.923130396368</v>
      </c>
    </row>
    <row r="95" spans="1:6" x14ac:dyDescent="0.3">
      <c r="A95">
        <f t="shared" si="6"/>
        <v>132</v>
      </c>
      <c r="B95" s="2">
        <f t="shared" si="7"/>
        <v>48884</v>
      </c>
      <c r="C95" s="5">
        <f t="shared" si="8"/>
        <v>298.86889733340695</v>
      </c>
      <c r="D95" s="5">
        <f t="shared" si="9"/>
        <v>86.681102666593048</v>
      </c>
      <c r="E95" s="5">
        <f t="shared" si="10"/>
        <v>385.55</v>
      </c>
      <c r="F95" s="5">
        <f t="shared" si="11"/>
        <v>44926.054233062961</v>
      </c>
    </row>
    <row r="96" spans="1:6" x14ac:dyDescent="0.3">
      <c r="A96">
        <f t="shared" si="6"/>
        <v>131</v>
      </c>
      <c r="B96" s="2">
        <f t="shared" si="7"/>
        <v>48914</v>
      </c>
      <c r="C96" s="5">
        <f t="shared" si="8"/>
        <v>299.44172938662933</v>
      </c>
      <c r="D96" s="5">
        <f t="shared" si="9"/>
        <v>86.108270613370678</v>
      </c>
      <c r="E96" s="5">
        <f t="shared" si="10"/>
        <v>385.55</v>
      </c>
      <c r="F96" s="5">
        <f t="shared" si="11"/>
        <v>44626.612503676333</v>
      </c>
    </row>
    <row r="97" spans="1:6" x14ac:dyDescent="0.3">
      <c r="A97">
        <f t="shared" si="6"/>
        <v>130</v>
      </c>
      <c r="B97" s="2">
        <f t="shared" si="7"/>
        <v>48945</v>
      </c>
      <c r="C97" s="5">
        <f t="shared" si="8"/>
        <v>300.01565936795373</v>
      </c>
      <c r="D97" s="5">
        <f t="shared" si="9"/>
        <v>85.534340632046295</v>
      </c>
      <c r="E97" s="5">
        <f t="shared" si="10"/>
        <v>385.55</v>
      </c>
      <c r="F97" s="5">
        <f t="shared" si="11"/>
        <v>44326.596844308377</v>
      </c>
    </row>
    <row r="98" spans="1:6" x14ac:dyDescent="0.3">
      <c r="A98">
        <f t="shared" si="6"/>
        <v>129</v>
      </c>
      <c r="B98" s="2">
        <f t="shared" si="7"/>
        <v>48976</v>
      </c>
      <c r="C98" s="5">
        <f t="shared" si="8"/>
        <v>300.59068938174232</v>
      </c>
      <c r="D98" s="5">
        <f t="shared" si="9"/>
        <v>84.959310618257717</v>
      </c>
      <c r="E98" s="5">
        <f t="shared" si="10"/>
        <v>385.55</v>
      </c>
      <c r="F98" s="5">
        <f t="shared" si="11"/>
        <v>44026.006154926632</v>
      </c>
    </row>
    <row r="99" spans="1:6" x14ac:dyDescent="0.3">
      <c r="A99">
        <f t="shared" si="6"/>
        <v>128</v>
      </c>
      <c r="B99" s="2">
        <f t="shared" si="7"/>
        <v>49004</v>
      </c>
      <c r="C99" s="5">
        <f t="shared" si="8"/>
        <v>301.16682153639061</v>
      </c>
      <c r="D99" s="5">
        <f t="shared" si="9"/>
        <v>84.383178463609383</v>
      </c>
      <c r="E99" s="5">
        <f t="shared" si="10"/>
        <v>385.55</v>
      </c>
      <c r="F99" s="5">
        <f t="shared" si="11"/>
        <v>43724.839333390242</v>
      </c>
    </row>
    <row r="100" spans="1:6" x14ac:dyDescent="0.3">
      <c r="A100">
        <f t="shared" si="6"/>
        <v>127</v>
      </c>
      <c r="B100" s="2">
        <f t="shared" si="7"/>
        <v>49035</v>
      </c>
      <c r="C100" s="5">
        <f t="shared" si="8"/>
        <v>301.7440579443354</v>
      </c>
      <c r="D100" s="5">
        <f t="shared" si="9"/>
        <v>83.80594205566463</v>
      </c>
      <c r="E100" s="5">
        <f t="shared" si="10"/>
        <v>385.55</v>
      </c>
      <c r="F100" s="5">
        <f t="shared" si="11"/>
        <v>43423.095275445907</v>
      </c>
    </row>
    <row r="101" spans="1:6" x14ac:dyDescent="0.3">
      <c r="A101">
        <f t="shared" si="6"/>
        <v>126</v>
      </c>
      <c r="B101" s="2">
        <f t="shared" si="7"/>
        <v>49065</v>
      </c>
      <c r="C101" s="5">
        <f t="shared" si="8"/>
        <v>302.32240072206201</v>
      </c>
      <c r="D101" s="5">
        <f t="shared" si="9"/>
        <v>83.227599277937983</v>
      </c>
      <c r="E101" s="5">
        <f t="shared" si="10"/>
        <v>385.55</v>
      </c>
      <c r="F101" s="5">
        <f t="shared" si="11"/>
        <v>43120.772874723843</v>
      </c>
    </row>
    <row r="102" spans="1:6" x14ac:dyDescent="0.3">
      <c r="A102">
        <f t="shared" si="6"/>
        <v>125</v>
      </c>
      <c r="B102" s="2">
        <f t="shared" si="7"/>
        <v>49096</v>
      </c>
      <c r="C102" s="5">
        <f t="shared" si="8"/>
        <v>302.90185199011262</v>
      </c>
      <c r="D102" s="5">
        <f t="shared" si="9"/>
        <v>82.648148009887365</v>
      </c>
      <c r="E102" s="5">
        <f t="shared" si="10"/>
        <v>385.55</v>
      </c>
      <c r="F102" s="5">
        <f t="shared" si="11"/>
        <v>42817.871022733729</v>
      </c>
    </row>
    <row r="103" spans="1:6" x14ac:dyDescent="0.3">
      <c r="A103">
        <f t="shared" si="6"/>
        <v>124</v>
      </c>
      <c r="B103" s="2">
        <f t="shared" si="7"/>
        <v>49126</v>
      </c>
      <c r="C103" s="5">
        <f t="shared" si="8"/>
        <v>303.48241387309372</v>
      </c>
      <c r="D103" s="5">
        <f t="shared" si="9"/>
        <v>82.067586126906306</v>
      </c>
      <c r="E103" s="5">
        <f t="shared" si="10"/>
        <v>385.55</v>
      </c>
      <c r="F103" s="5">
        <f t="shared" si="11"/>
        <v>42514.388608860638</v>
      </c>
    </row>
    <row r="104" spans="1:6" x14ac:dyDescent="0.3">
      <c r="A104">
        <f t="shared" si="6"/>
        <v>123</v>
      </c>
      <c r="B104" s="2">
        <f t="shared" si="7"/>
        <v>49157</v>
      </c>
      <c r="C104" s="5">
        <f t="shared" si="8"/>
        <v>304.06408849968381</v>
      </c>
      <c r="D104" s="5">
        <f t="shared" si="9"/>
        <v>81.48591150031622</v>
      </c>
      <c r="E104" s="5">
        <f t="shared" si="10"/>
        <v>385.55</v>
      </c>
      <c r="F104" s="5">
        <f t="shared" si="11"/>
        <v>42210.324520360955</v>
      </c>
    </row>
    <row r="105" spans="1:6" x14ac:dyDescent="0.3">
      <c r="A105">
        <f t="shared" si="6"/>
        <v>122</v>
      </c>
      <c r="B105" s="2">
        <f t="shared" si="7"/>
        <v>49188</v>
      </c>
      <c r="C105" s="5">
        <f t="shared" si="8"/>
        <v>304.64687800264153</v>
      </c>
      <c r="D105" s="5">
        <f t="shared" si="9"/>
        <v>80.903121997358497</v>
      </c>
      <c r="E105" s="5">
        <f t="shared" si="10"/>
        <v>385.55</v>
      </c>
      <c r="F105" s="5">
        <f t="shared" si="11"/>
        <v>41905.677642358314</v>
      </c>
    </row>
    <row r="106" spans="1:6" x14ac:dyDescent="0.3">
      <c r="A106">
        <f t="shared" si="6"/>
        <v>121</v>
      </c>
      <c r="B106" s="2">
        <f t="shared" si="7"/>
        <v>49218</v>
      </c>
      <c r="C106" s="5">
        <f t="shared" si="8"/>
        <v>305.23078451881327</v>
      </c>
      <c r="D106" s="5">
        <f t="shared" si="9"/>
        <v>80.31921548118676</v>
      </c>
      <c r="E106" s="5">
        <f t="shared" si="10"/>
        <v>385.55</v>
      </c>
      <c r="F106" s="5">
        <f t="shared" si="11"/>
        <v>41600.446857839503</v>
      </c>
    </row>
    <row r="107" spans="1:6" x14ac:dyDescent="0.3">
      <c r="A107">
        <f t="shared" si="6"/>
        <v>120</v>
      </c>
      <c r="B107" s="2">
        <f t="shared" si="7"/>
        <v>49249</v>
      </c>
      <c r="C107" s="5">
        <f t="shared" si="8"/>
        <v>305.81581018914096</v>
      </c>
      <c r="D107" s="5">
        <f t="shared" si="9"/>
        <v>79.73418981085905</v>
      </c>
      <c r="E107" s="5">
        <f t="shared" si="10"/>
        <v>385.55</v>
      </c>
      <c r="F107" s="5">
        <f t="shared" si="11"/>
        <v>41294.631047650364</v>
      </c>
    </row>
    <row r="108" spans="1:6" x14ac:dyDescent="0.3">
      <c r="A108">
        <f t="shared" si="6"/>
        <v>119</v>
      </c>
      <c r="B108" s="2">
        <f t="shared" si="7"/>
        <v>49279</v>
      </c>
      <c r="C108" s="5">
        <f t="shared" si="8"/>
        <v>306.40195715867014</v>
      </c>
      <c r="D108" s="5">
        <f t="shared" si="9"/>
        <v>79.148042841329854</v>
      </c>
      <c r="E108" s="5">
        <f t="shared" si="10"/>
        <v>385.55</v>
      </c>
      <c r="F108" s="5">
        <f t="shared" si="11"/>
        <v>40988.229090491695</v>
      </c>
    </row>
    <row r="109" spans="1:6" x14ac:dyDescent="0.3">
      <c r="A109">
        <f t="shared" si="6"/>
        <v>118</v>
      </c>
      <c r="B109" s="2">
        <f t="shared" si="7"/>
        <v>49310</v>
      </c>
      <c r="C109" s="5">
        <f t="shared" si="8"/>
        <v>306.9892275765576</v>
      </c>
      <c r="D109" s="5">
        <f t="shared" si="9"/>
        <v>78.560772423442415</v>
      </c>
      <c r="E109" s="5">
        <f t="shared" si="10"/>
        <v>385.55</v>
      </c>
      <c r="F109" s="5">
        <f t="shared" si="11"/>
        <v>40681.239862915136</v>
      </c>
    </row>
    <row r="110" spans="1:6" x14ac:dyDescent="0.3">
      <c r="A110">
        <f t="shared" si="6"/>
        <v>117</v>
      </c>
      <c r="B110" s="2">
        <f t="shared" si="7"/>
        <v>49341</v>
      </c>
      <c r="C110" s="5">
        <f t="shared" si="8"/>
        <v>307.57762359607932</v>
      </c>
      <c r="D110" s="5">
        <f t="shared" si="9"/>
        <v>77.972376403920677</v>
      </c>
      <c r="E110" s="5">
        <f t="shared" si="10"/>
        <v>385.55</v>
      </c>
      <c r="F110" s="5">
        <f t="shared" si="11"/>
        <v>40373.662239319056</v>
      </c>
    </row>
    <row r="111" spans="1:6" x14ac:dyDescent="0.3">
      <c r="A111">
        <f t="shared" si="6"/>
        <v>116</v>
      </c>
      <c r="B111" s="2">
        <f t="shared" si="7"/>
        <v>49369</v>
      </c>
      <c r="C111" s="5">
        <f t="shared" si="8"/>
        <v>308.16714737463849</v>
      </c>
      <c r="D111" s="5">
        <f t="shared" si="9"/>
        <v>77.382852625361522</v>
      </c>
      <c r="E111" s="5">
        <f t="shared" si="10"/>
        <v>385.55</v>
      </c>
      <c r="F111" s="5">
        <f t="shared" si="11"/>
        <v>40065.495091944416</v>
      </c>
    </row>
    <row r="112" spans="1:6" x14ac:dyDescent="0.3">
      <c r="A112">
        <f t="shared" si="6"/>
        <v>115</v>
      </c>
      <c r="B112" s="2">
        <f t="shared" si="7"/>
        <v>49400</v>
      </c>
      <c r="C112" s="5">
        <f t="shared" si="8"/>
        <v>308.75780107377324</v>
      </c>
      <c r="D112" s="5">
        <f t="shared" si="9"/>
        <v>76.792198926226789</v>
      </c>
      <c r="E112" s="5">
        <f t="shared" si="10"/>
        <v>385.55</v>
      </c>
      <c r="F112" s="5">
        <f t="shared" si="11"/>
        <v>39756.737290870646</v>
      </c>
    </row>
    <row r="113" spans="1:6" x14ac:dyDescent="0.3">
      <c r="A113">
        <f t="shared" si="6"/>
        <v>114</v>
      </c>
      <c r="B113" s="2">
        <f t="shared" si="7"/>
        <v>49430</v>
      </c>
      <c r="C113" s="5">
        <f t="shared" si="8"/>
        <v>309.34958685916462</v>
      </c>
      <c r="D113" s="5">
        <f t="shared" si="9"/>
        <v>76.200413140835408</v>
      </c>
      <c r="E113" s="5">
        <f t="shared" si="10"/>
        <v>385.55</v>
      </c>
      <c r="F113" s="5">
        <f t="shared" si="11"/>
        <v>39447.387704011482</v>
      </c>
    </row>
    <row r="114" spans="1:6" x14ac:dyDescent="0.3">
      <c r="A114">
        <f t="shared" si="6"/>
        <v>113</v>
      </c>
      <c r="B114" s="2">
        <f t="shared" si="7"/>
        <v>49461</v>
      </c>
      <c r="C114" s="5">
        <f t="shared" si="8"/>
        <v>309.94250690064467</v>
      </c>
      <c r="D114" s="5">
        <f t="shared" si="9"/>
        <v>75.607493099355338</v>
      </c>
      <c r="E114" s="5">
        <f t="shared" si="10"/>
        <v>385.55</v>
      </c>
      <c r="F114" s="5">
        <f t="shared" si="11"/>
        <v>39137.445197110836</v>
      </c>
    </row>
    <row r="115" spans="1:6" x14ac:dyDescent="0.3">
      <c r="A115">
        <f t="shared" si="6"/>
        <v>112</v>
      </c>
      <c r="B115" s="2">
        <f t="shared" si="7"/>
        <v>49491</v>
      </c>
      <c r="C115" s="5">
        <f t="shared" si="8"/>
        <v>310.53656337220423</v>
      </c>
      <c r="D115" s="5">
        <f t="shared" si="9"/>
        <v>75.01343662779577</v>
      </c>
      <c r="E115" s="5">
        <f t="shared" si="10"/>
        <v>385.55</v>
      </c>
      <c r="F115" s="5">
        <f t="shared" si="11"/>
        <v>38826.908633738632</v>
      </c>
    </row>
    <row r="116" spans="1:6" x14ac:dyDescent="0.3">
      <c r="A116">
        <f t="shared" si="6"/>
        <v>111</v>
      </c>
      <c r="B116" s="2">
        <f t="shared" si="7"/>
        <v>49522</v>
      </c>
      <c r="C116" s="5">
        <f t="shared" si="8"/>
        <v>311.13175845200095</v>
      </c>
      <c r="D116" s="5">
        <f t="shared" si="9"/>
        <v>74.418241547999045</v>
      </c>
      <c r="E116" s="5">
        <f t="shared" si="10"/>
        <v>385.55</v>
      </c>
      <c r="F116" s="5">
        <f t="shared" si="11"/>
        <v>38515.776875286632</v>
      </c>
    </row>
    <row r="117" spans="1:6" x14ac:dyDescent="0.3">
      <c r="A117">
        <f t="shared" si="6"/>
        <v>110</v>
      </c>
      <c r="B117" s="2">
        <f t="shared" si="7"/>
        <v>49553</v>
      </c>
      <c r="C117" s="5">
        <f t="shared" si="8"/>
        <v>311.72809432236727</v>
      </c>
      <c r="D117" s="5">
        <f t="shared" si="9"/>
        <v>73.821905677632714</v>
      </c>
      <c r="E117" s="5">
        <f t="shared" si="10"/>
        <v>385.55</v>
      </c>
      <c r="F117" s="5">
        <f t="shared" si="11"/>
        <v>38204.048780964265</v>
      </c>
    </row>
    <row r="118" spans="1:6" x14ac:dyDescent="0.3">
      <c r="A118">
        <f t="shared" si="6"/>
        <v>109</v>
      </c>
      <c r="B118" s="2">
        <f t="shared" si="7"/>
        <v>49583</v>
      </c>
      <c r="C118" s="5">
        <f t="shared" si="8"/>
        <v>312.32557316981848</v>
      </c>
      <c r="D118" s="5">
        <f t="shared" si="9"/>
        <v>73.224426830181514</v>
      </c>
      <c r="E118" s="5">
        <f t="shared" si="10"/>
        <v>385.55</v>
      </c>
      <c r="F118" s="5">
        <f t="shared" si="11"/>
        <v>37891.72320779445</v>
      </c>
    </row>
    <row r="119" spans="1:6" x14ac:dyDescent="0.3">
      <c r="A119">
        <f t="shared" si="6"/>
        <v>108</v>
      </c>
      <c r="B119" s="2">
        <f t="shared" si="7"/>
        <v>49614</v>
      </c>
      <c r="C119" s="5">
        <f t="shared" si="8"/>
        <v>312.92419718506062</v>
      </c>
      <c r="D119" s="5">
        <f t="shared" si="9"/>
        <v>72.625802814939362</v>
      </c>
      <c r="E119" s="5">
        <f t="shared" si="10"/>
        <v>385.55</v>
      </c>
      <c r="F119" s="5">
        <f t="shared" si="11"/>
        <v>37578.799010609393</v>
      </c>
    </row>
    <row r="120" spans="1:6" x14ac:dyDescent="0.3">
      <c r="A120">
        <f t="shared" si="6"/>
        <v>107</v>
      </c>
      <c r="B120" s="2">
        <f t="shared" si="7"/>
        <v>49644</v>
      </c>
      <c r="C120" s="5">
        <f t="shared" si="8"/>
        <v>313.52396856299868</v>
      </c>
      <c r="D120" s="5">
        <f t="shared" si="9"/>
        <v>72.026031437001336</v>
      </c>
      <c r="E120" s="5">
        <f t="shared" si="10"/>
        <v>385.55</v>
      </c>
      <c r="F120" s="5">
        <f t="shared" si="11"/>
        <v>37265.275042046393</v>
      </c>
    </row>
    <row r="121" spans="1:6" x14ac:dyDescent="0.3">
      <c r="A121">
        <f t="shared" si="6"/>
        <v>106</v>
      </c>
      <c r="B121" s="2">
        <f t="shared" si="7"/>
        <v>49675</v>
      </c>
      <c r="C121" s="5">
        <f t="shared" si="8"/>
        <v>314.1248895027444</v>
      </c>
      <c r="D121" s="5">
        <f t="shared" si="9"/>
        <v>71.425110497255588</v>
      </c>
      <c r="E121" s="5">
        <f t="shared" si="10"/>
        <v>385.55</v>
      </c>
      <c r="F121" s="5">
        <f t="shared" si="11"/>
        <v>36951.150152543647</v>
      </c>
    </row>
    <row r="122" spans="1:6" x14ac:dyDescent="0.3">
      <c r="A122">
        <f t="shared" si="6"/>
        <v>105</v>
      </c>
      <c r="B122" s="2">
        <f t="shared" si="7"/>
        <v>49706</v>
      </c>
      <c r="C122" s="5">
        <f t="shared" si="8"/>
        <v>314.72696220762469</v>
      </c>
      <c r="D122" s="5">
        <f t="shared" si="9"/>
        <v>70.823037792375331</v>
      </c>
      <c r="E122" s="5">
        <f t="shared" si="10"/>
        <v>385.55</v>
      </c>
      <c r="F122" s="5">
        <f t="shared" si="11"/>
        <v>36636.42319033602</v>
      </c>
    </row>
    <row r="123" spans="1:6" x14ac:dyDescent="0.3">
      <c r="A123">
        <f t="shared" si="6"/>
        <v>104</v>
      </c>
      <c r="B123" s="2">
        <f t="shared" si="7"/>
        <v>49735</v>
      </c>
      <c r="C123" s="5">
        <f t="shared" si="8"/>
        <v>315.33018888518933</v>
      </c>
      <c r="D123" s="5">
        <f t="shared" si="9"/>
        <v>70.219811114810696</v>
      </c>
      <c r="E123" s="5">
        <f t="shared" si="10"/>
        <v>385.55</v>
      </c>
      <c r="F123" s="5">
        <f t="shared" si="11"/>
        <v>36321.093001450827</v>
      </c>
    </row>
    <row r="124" spans="1:6" x14ac:dyDescent="0.3">
      <c r="A124">
        <f t="shared" si="6"/>
        <v>103</v>
      </c>
      <c r="B124" s="2">
        <f t="shared" si="7"/>
        <v>49766</v>
      </c>
      <c r="C124" s="5">
        <f t="shared" si="8"/>
        <v>315.93457174721925</v>
      </c>
      <c r="D124" s="5">
        <f t="shared" si="9"/>
        <v>69.615428252780745</v>
      </c>
      <c r="E124" s="5">
        <f t="shared" si="10"/>
        <v>385.55</v>
      </c>
      <c r="F124" s="5">
        <f t="shared" si="11"/>
        <v>36005.15842970361</v>
      </c>
    </row>
    <row r="125" spans="1:6" x14ac:dyDescent="0.3">
      <c r="A125">
        <f t="shared" si="6"/>
        <v>102</v>
      </c>
      <c r="B125" s="2">
        <f t="shared" si="7"/>
        <v>49796</v>
      </c>
      <c r="C125" s="5">
        <f t="shared" si="8"/>
        <v>316.54011300973474</v>
      </c>
      <c r="D125" s="5">
        <f t="shared" si="9"/>
        <v>69.009886990265258</v>
      </c>
      <c r="E125" s="5">
        <f t="shared" si="10"/>
        <v>385.55</v>
      </c>
      <c r="F125" s="5">
        <f t="shared" si="11"/>
        <v>35688.618316693872</v>
      </c>
    </row>
    <row r="126" spans="1:6" x14ac:dyDescent="0.3">
      <c r="A126">
        <f t="shared" si="6"/>
        <v>101</v>
      </c>
      <c r="B126" s="2">
        <f t="shared" si="7"/>
        <v>49827</v>
      </c>
      <c r="C126" s="5">
        <f t="shared" si="8"/>
        <v>317.14681489300341</v>
      </c>
      <c r="D126" s="5">
        <f t="shared" si="9"/>
        <v>68.403185106996588</v>
      </c>
      <c r="E126" s="5">
        <f t="shared" si="10"/>
        <v>385.55</v>
      </c>
      <c r="F126" s="5">
        <f t="shared" si="11"/>
        <v>35371.471501800872</v>
      </c>
    </row>
    <row r="127" spans="1:6" x14ac:dyDescent="0.3">
      <c r="A127">
        <f t="shared" si="6"/>
        <v>100</v>
      </c>
      <c r="B127" s="2">
        <f t="shared" si="7"/>
        <v>49857</v>
      </c>
      <c r="C127" s="5">
        <f t="shared" si="8"/>
        <v>317.75467962154835</v>
      </c>
      <c r="D127" s="5">
        <f t="shared" si="9"/>
        <v>67.795320378451677</v>
      </c>
      <c r="E127" s="5">
        <f t="shared" si="10"/>
        <v>385.55</v>
      </c>
      <c r="F127" s="5">
        <f t="shared" si="11"/>
        <v>35053.716822179325</v>
      </c>
    </row>
    <row r="128" spans="1:6" x14ac:dyDescent="0.3">
      <c r="A128">
        <f t="shared" si="6"/>
        <v>99</v>
      </c>
      <c r="B128" s="2">
        <f t="shared" si="7"/>
        <v>49888</v>
      </c>
      <c r="C128" s="5">
        <f t="shared" si="8"/>
        <v>318.3637094241563</v>
      </c>
      <c r="D128" s="5">
        <f t="shared" si="9"/>
        <v>67.186290575843699</v>
      </c>
      <c r="E128" s="5">
        <f t="shared" si="10"/>
        <v>385.55</v>
      </c>
      <c r="F128" s="5">
        <f t="shared" si="11"/>
        <v>34735.353112755169</v>
      </c>
    </row>
    <row r="129" spans="1:6" x14ac:dyDescent="0.3">
      <c r="A129">
        <f t="shared" si="6"/>
        <v>98</v>
      </c>
      <c r="B129" s="2">
        <f t="shared" si="7"/>
        <v>49919</v>
      </c>
      <c r="C129" s="5">
        <f t="shared" si="8"/>
        <v>318.97390653388595</v>
      </c>
      <c r="D129" s="5">
        <f t="shared" si="9"/>
        <v>66.576093466114074</v>
      </c>
      <c r="E129" s="5">
        <f t="shared" si="10"/>
        <v>385.55</v>
      </c>
      <c r="F129" s="5">
        <f t="shared" si="11"/>
        <v>34416.379206221281</v>
      </c>
    </row>
    <row r="130" spans="1:6" x14ac:dyDescent="0.3">
      <c r="A130">
        <f t="shared" si="6"/>
        <v>97</v>
      </c>
      <c r="B130" s="2">
        <f t="shared" si="7"/>
        <v>49949</v>
      </c>
      <c r="C130" s="5">
        <f t="shared" si="8"/>
        <v>319.58527318807592</v>
      </c>
      <c r="D130" s="5">
        <f t="shared" si="9"/>
        <v>65.964726811924123</v>
      </c>
      <c r="E130" s="5">
        <f t="shared" si="10"/>
        <v>385.55</v>
      </c>
      <c r="F130" s="5">
        <f t="shared" si="11"/>
        <v>34096.793933033208</v>
      </c>
    </row>
    <row r="131" spans="1:6" x14ac:dyDescent="0.3">
      <c r="A131">
        <f t="shared" si="6"/>
        <v>96</v>
      </c>
      <c r="B131" s="2">
        <f t="shared" si="7"/>
        <v>49980</v>
      </c>
      <c r="C131" s="5">
        <f t="shared" si="8"/>
        <v>320.19781162835301</v>
      </c>
      <c r="D131" s="5">
        <f t="shared" si="9"/>
        <v>65.352188371646989</v>
      </c>
      <c r="E131" s="5">
        <f t="shared" si="10"/>
        <v>385.55</v>
      </c>
      <c r="F131" s="5">
        <f t="shared" si="11"/>
        <v>33776.596121404858</v>
      </c>
    </row>
    <row r="132" spans="1:6" x14ac:dyDescent="0.3">
      <c r="A132">
        <f t="shared" si="6"/>
        <v>95</v>
      </c>
      <c r="B132" s="2">
        <f t="shared" si="7"/>
        <v>50010</v>
      </c>
      <c r="C132" s="5">
        <f t="shared" si="8"/>
        <v>320.81152410064067</v>
      </c>
      <c r="D132" s="5">
        <f t="shared" si="9"/>
        <v>64.738475899359315</v>
      </c>
      <c r="E132" s="5">
        <f t="shared" si="10"/>
        <v>385.55</v>
      </c>
      <c r="F132" s="5">
        <f t="shared" si="11"/>
        <v>33455.78459730422</v>
      </c>
    </row>
    <row r="133" spans="1:6" x14ac:dyDescent="0.3">
      <c r="A133">
        <f t="shared" si="6"/>
        <v>94</v>
      </c>
      <c r="B133" s="2">
        <f t="shared" si="7"/>
        <v>50041</v>
      </c>
      <c r="C133" s="5">
        <f t="shared" si="8"/>
        <v>321.42641285516692</v>
      </c>
      <c r="D133" s="5">
        <f t="shared" si="9"/>
        <v>64.123587144833081</v>
      </c>
      <c r="E133" s="5">
        <f t="shared" si="10"/>
        <v>385.55</v>
      </c>
      <c r="F133" s="5">
        <f t="shared" si="11"/>
        <v>33134.358184449055</v>
      </c>
    </row>
    <row r="134" spans="1:6" x14ac:dyDescent="0.3">
      <c r="A134">
        <f t="shared" si="6"/>
        <v>93</v>
      </c>
      <c r="B134" s="2">
        <f t="shared" si="7"/>
        <v>50072</v>
      </c>
      <c r="C134" s="5">
        <f t="shared" si="8"/>
        <v>322.04248014647266</v>
      </c>
      <c r="D134" s="5">
        <f t="shared" si="9"/>
        <v>63.507519853527356</v>
      </c>
      <c r="E134" s="5">
        <f t="shared" si="10"/>
        <v>385.55</v>
      </c>
      <c r="F134" s="5">
        <f t="shared" si="11"/>
        <v>32812.315704302579</v>
      </c>
    </row>
    <row r="135" spans="1:6" x14ac:dyDescent="0.3">
      <c r="A135">
        <f t="shared" si="6"/>
        <v>92</v>
      </c>
      <c r="B135" s="2">
        <f t="shared" si="7"/>
        <v>50100</v>
      </c>
      <c r="C135" s="5">
        <f t="shared" si="8"/>
        <v>322.65972823342008</v>
      </c>
      <c r="D135" s="5">
        <f t="shared" si="9"/>
        <v>62.890271766579936</v>
      </c>
      <c r="E135" s="5">
        <f t="shared" si="10"/>
        <v>385.55</v>
      </c>
      <c r="F135" s="5">
        <f t="shared" si="11"/>
        <v>32489.65597606916</v>
      </c>
    </row>
    <row r="136" spans="1:6" x14ac:dyDescent="0.3">
      <c r="A136">
        <f t="shared" si="6"/>
        <v>91</v>
      </c>
      <c r="B136" s="2">
        <f t="shared" si="7"/>
        <v>50131</v>
      </c>
      <c r="C136" s="5">
        <f t="shared" si="8"/>
        <v>323.27815937920082</v>
      </c>
      <c r="D136" s="5">
        <f t="shared" si="9"/>
        <v>62.271840620799225</v>
      </c>
      <c r="E136" s="5">
        <f t="shared" si="10"/>
        <v>385.55</v>
      </c>
      <c r="F136" s="5">
        <f t="shared" si="11"/>
        <v>32166.377816689957</v>
      </c>
    </row>
    <row r="137" spans="1:6" x14ac:dyDescent="0.3">
      <c r="A137">
        <f t="shared" ref="A137:A200" si="12">A136-1</f>
        <v>90</v>
      </c>
      <c r="B137" s="2">
        <f t="shared" si="7"/>
        <v>50161</v>
      </c>
      <c r="C137" s="5">
        <f t="shared" si="8"/>
        <v>323.89777585134425</v>
      </c>
      <c r="D137" s="5">
        <f t="shared" si="9"/>
        <v>61.652224148655755</v>
      </c>
      <c r="E137" s="5">
        <f t="shared" si="10"/>
        <v>385.55</v>
      </c>
      <c r="F137" s="5">
        <f t="shared" si="11"/>
        <v>31842.480040838615</v>
      </c>
    </row>
    <row r="138" spans="1:6" x14ac:dyDescent="0.3">
      <c r="A138">
        <f t="shared" si="12"/>
        <v>89</v>
      </c>
      <c r="B138" s="2">
        <f t="shared" ref="B138:B201" si="13">EDATE(B137,1)</f>
        <v>50192</v>
      </c>
      <c r="C138" s="5">
        <f t="shared" ref="C138:C201" si="14">$C$2-D138</f>
        <v>324.51857992172597</v>
      </c>
      <c r="D138" s="5">
        <f t="shared" ref="D138:D201" si="15">F137*$B$2/12</f>
        <v>61.03142007827401</v>
      </c>
      <c r="E138" s="5">
        <f t="shared" ref="E138:E201" si="16">$C$2</f>
        <v>385.55</v>
      </c>
      <c r="F138" s="5">
        <f t="shared" ref="F138:F201" si="17">F137-C138</f>
        <v>31517.961460916889</v>
      </c>
    </row>
    <row r="139" spans="1:6" x14ac:dyDescent="0.3">
      <c r="A139">
        <f t="shared" si="12"/>
        <v>88</v>
      </c>
      <c r="B139" s="2">
        <f t="shared" si="13"/>
        <v>50222</v>
      </c>
      <c r="C139" s="5">
        <f t="shared" si="14"/>
        <v>325.14057386657601</v>
      </c>
      <c r="D139" s="5">
        <f t="shared" si="15"/>
        <v>60.409426133424034</v>
      </c>
      <c r="E139" s="5">
        <f t="shared" si="16"/>
        <v>385.55</v>
      </c>
      <c r="F139" s="5">
        <f t="shared" si="17"/>
        <v>31192.820887050315</v>
      </c>
    </row>
    <row r="140" spans="1:6" x14ac:dyDescent="0.3">
      <c r="A140">
        <f t="shared" si="12"/>
        <v>87</v>
      </c>
      <c r="B140" s="2">
        <f t="shared" si="13"/>
        <v>50253</v>
      </c>
      <c r="C140" s="5">
        <f t="shared" si="14"/>
        <v>325.76375996648693</v>
      </c>
      <c r="D140" s="5">
        <f t="shared" si="15"/>
        <v>59.786240033513103</v>
      </c>
      <c r="E140" s="5">
        <f t="shared" si="16"/>
        <v>385.55</v>
      </c>
      <c r="F140" s="5">
        <f t="shared" si="17"/>
        <v>30867.057127083826</v>
      </c>
    </row>
    <row r="141" spans="1:6" x14ac:dyDescent="0.3">
      <c r="A141">
        <f t="shared" si="12"/>
        <v>86</v>
      </c>
      <c r="B141" s="2">
        <f t="shared" si="13"/>
        <v>50284</v>
      </c>
      <c r="C141" s="5">
        <f t="shared" si="14"/>
        <v>326.3881405064227</v>
      </c>
      <c r="D141" s="5">
        <f t="shared" si="15"/>
        <v>59.161859493577332</v>
      </c>
      <c r="E141" s="5">
        <f t="shared" si="16"/>
        <v>385.55</v>
      </c>
      <c r="F141" s="5">
        <f t="shared" si="17"/>
        <v>30540.668986577402</v>
      </c>
    </row>
    <row r="142" spans="1:6" x14ac:dyDescent="0.3">
      <c r="A142">
        <f t="shared" si="12"/>
        <v>85</v>
      </c>
      <c r="B142" s="2">
        <f t="shared" si="13"/>
        <v>50314</v>
      </c>
      <c r="C142" s="5">
        <f t="shared" si="14"/>
        <v>327.01371777572666</v>
      </c>
      <c r="D142" s="5">
        <f t="shared" si="15"/>
        <v>58.53628222427335</v>
      </c>
      <c r="E142" s="5">
        <f t="shared" si="16"/>
        <v>385.55</v>
      </c>
      <c r="F142" s="5">
        <f t="shared" si="17"/>
        <v>30213.655268801675</v>
      </c>
    </row>
    <row r="143" spans="1:6" x14ac:dyDescent="0.3">
      <c r="A143">
        <f t="shared" si="12"/>
        <v>84</v>
      </c>
      <c r="B143" s="2">
        <f t="shared" si="13"/>
        <v>50345</v>
      </c>
      <c r="C143" s="5">
        <f t="shared" si="14"/>
        <v>327.64049406813012</v>
      </c>
      <c r="D143" s="5">
        <f t="shared" si="15"/>
        <v>57.90950593186988</v>
      </c>
      <c r="E143" s="5">
        <f t="shared" si="16"/>
        <v>385.55</v>
      </c>
      <c r="F143" s="5">
        <f t="shared" si="17"/>
        <v>29886.014774733543</v>
      </c>
    </row>
    <row r="144" spans="1:6" x14ac:dyDescent="0.3">
      <c r="A144">
        <f t="shared" si="12"/>
        <v>83</v>
      </c>
      <c r="B144" s="2">
        <f t="shared" si="13"/>
        <v>50375</v>
      </c>
      <c r="C144" s="5">
        <f t="shared" si="14"/>
        <v>328.26847168176073</v>
      </c>
      <c r="D144" s="5">
        <f t="shared" si="15"/>
        <v>57.281528318239289</v>
      </c>
      <c r="E144" s="5">
        <f t="shared" si="16"/>
        <v>385.55</v>
      </c>
      <c r="F144" s="5">
        <f t="shared" si="17"/>
        <v>29557.746303051783</v>
      </c>
    </row>
    <row r="145" spans="1:6" x14ac:dyDescent="0.3">
      <c r="A145">
        <f t="shared" si="12"/>
        <v>82</v>
      </c>
      <c r="B145" s="2">
        <f t="shared" si="13"/>
        <v>50406</v>
      </c>
      <c r="C145" s="5">
        <f t="shared" si="14"/>
        <v>328.89765291915074</v>
      </c>
      <c r="D145" s="5">
        <f t="shared" si="15"/>
        <v>56.652347080849246</v>
      </c>
      <c r="E145" s="5">
        <f t="shared" si="16"/>
        <v>385.55</v>
      </c>
      <c r="F145" s="5">
        <f t="shared" si="17"/>
        <v>29228.848650132633</v>
      </c>
    </row>
    <row r="146" spans="1:6" x14ac:dyDescent="0.3">
      <c r="A146">
        <f t="shared" si="12"/>
        <v>81</v>
      </c>
      <c r="B146" s="2">
        <f t="shared" si="13"/>
        <v>50437</v>
      </c>
      <c r="C146" s="5">
        <f t="shared" si="14"/>
        <v>329.52804008724581</v>
      </c>
      <c r="D146" s="5">
        <f t="shared" si="15"/>
        <v>56.02195991275422</v>
      </c>
      <c r="E146" s="5">
        <f t="shared" si="16"/>
        <v>385.55</v>
      </c>
      <c r="F146" s="5">
        <f t="shared" si="17"/>
        <v>28899.320610045386</v>
      </c>
    </row>
    <row r="147" spans="1:6" x14ac:dyDescent="0.3">
      <c r="A147">
        <f t="shared" si="12"/>
        <v>80</v>
      </c>
      <c r="B147" s="2">
        <f t="shared" si="13"/>
        <v>50465</v>
      </c>
      <c r="C147" s="5">
        <f t="shared" si="14"/>
        <v>330.15963549741303</v>
      </c>
      <c r="D147" s="5">
        <f t="shared" si="15"/>
        <v>55.390364502586984</v>
      </c>
      <c r="E147" s="5">
        <f t="shared" si="16"/>
        <v>385.55</v>
      </c>
      <c r="F147" s="5">
        <f t="shared" si="17"/>
        <v>28569.160974547973</v>
      </c>
    </row>
    <row r="148" spans="1:6" x14ac:dyDescent="0.3">
      <c r="A148">
        <f t="shared" si="12"/>
        <v>79</v>
      </c>
      <c r="B148" s="2">
        <f t="shared" si="13"/>
        <v>50496</v>
      </c>
      <c r="C148" s="5">
        <f t="shared" si="14"/>
        <v>330.79244146544971</v>
      </c>
      <c r="D148" s="5">
        <f t="shared" si="15"/>
        <v>54.757558534550277</v>
      </c>
      <c r="E148" s="5">
        <f t="shared" si="16"/>
        <v>385.55</v>
      </c>
      <c r="F148" s="5">
        <f t="shared" si="17"/>
        <v>28238.368533082525</v>
      </c>
    </row>
    <row r="149" spans="1:6" x14ac:dyDescent="0.3">
      <c r="A149">
        <f t="shared" si="12"/>
        <v>78</v>
      </c>
      <c r="B149" s="2">
        <f t="shared" si="13"/>
        <v>50526</v>
      </c>
      <c r="C149" s="5">
        <f t="shared" si="14"/>
        <v>331.42646031159182</v>
      </c>
      <c r="D149" s="5">
        <f t="shared" si="15"/>
        <v>54.123539688408165</v>
      </c>
      <c r="E149" s="5">
        <f t="shared" si="16"/>
        <v>385.55</v>
      </c>
      <c r="F149" s="5">
        <f t="shared" si="17"/>
        <v>27906.942072770933</v>
      </c>
    </row>
    <row r="150" spans="1:6" x14ac:dyDescent="0.3">
      <c r="A150">
        <f t="shared" si="12"/>
        <v>77</v>
      </c>
      <c r="B150" s="2">
        <f t="shared" si="13"/>
        <v>50557</v>
      </c>
      <c r="C150" s="5">
        <f t="shared" si="14"/>
        <v>332.06169436052238</v>
      </c>
      <c r="D150" s="5">
        <f t="shared" si="15"/>
        <v>53.488305639477623</v>
      </c>
      <c r="E150" s="5">
        <f t="shared" si="16"/>
        <v>385.55</v>
      </c>
      <c r="F150" s="5">
        <f t="shared" si="17"/>
        <v>27574.880378410409</v>
      </c>
    </row>
    <row r="151" spans="1:6" x14ac:dyDescent="0.3">
      <c r="A151">
        <f t="shared" si="12"/>
        <v>76</v>
      </c>
      <c r="B151" s="2">
        <f t="shared" si="13"/>
        <v>50587</v>
      </c>
      <c r="C151" s="5">
        <f t="shared" si="14"/>
        <v>332.69814594138006</v>
      </c>
      <c r="D151" s="5">
        <f t="shared" si="15"/>
        <v>52.851854058619949</v>
      </c>
      <c r="E151" s="5">
        <f t="shared" si="16"/>
        <v>385.55</v>
      </c>
      <c r="F151" s="5">
        <f t="shared" si="17"/>
        <v>27242.182232469029</v>
      </c>
    </row>
    <row r="152" spans="1:6" x14ac:dyDescent="0.3">
      <c r="A152">
        <f t="shared" si="12"/>
        <v>75</v>
      </c>
      <c r="B152" s="2">
        <f t="shared" si="13"/>
        <v>50618</v>
      </c>
      <c r="C152" s="5">
        <f t="shared" si="14"/>
        <v>333.33581738776769</v>
      </c>
      <c r="D152" s="5">
        <f t="shared" si="15"/>
        <v>52.2141826122323</v>
      </c>
      <c r="E152" s="5">
        <f t="shared" si="16"/>
        <v>385.55</v>
      </c>
      <c r="F152" s="5">
        <f t="shared" si="17"/>
        <v>26908.846415081262</v>
      </c>
    </row>
    <row r="153" spans="1:6" x14ac:dyDescent="0.3">
      <c r="A153">
        <f t="shared" si="12"/>
        <v>74</v>
      </c>
      <c r="B153" s="2">
        <f t="shared" si="13"/>
        <v>50649</v>
      </c>
      <c r="C153" s="5">
        <f t="shared" si="14"/>
        <v>333.97471103776093</v>
      </c>
      <c r="D153" s="5">
        <f t="shared" si="15"/>
        <v>51.575288962239085</v>
      </c>
      <c r="E153" s="5">
        <f t="shared" si="16"/>
        <v>385.55</v>
      </c>
      <c r="F153" s="5">
        <f t="shared" si="17"/>
        <v>26574.8717040435</v>
      </c>
    </row>
    <row r="154" spans="1:6" x14ac:dyDescent="0.3">
      <c r="A154">
        <f t="shared" si="12"/>
        <v>73</v>
      </c>
      <c r="B154" s="2">
        <f t="shared" si="13"/>
        <v>50679</v>
      </c>
      <c r="C154" s="5">
        <f t="shared" si="14"/>
        <v>334.61482923391662</v>
      </c>
      <c r="D154" s="5">
        <f t="shared" si="15"/>
        <v>50.935170766083381</v>
      </c>
      <c r="E154" s="5">
        <f t="shared" si="16"/>
        <v>385.55</v>
      </c>
      <c r="F154" s="5">
        <f t="shared" si="17"/>
        <v>26240.256874809584</v>
      </c>
    </row>
    <row r="155" spans="1:6" x14ac:dyDescent="0.3">
      <c r="A155">
        <f t="shared" si="12"/>
        <v>72</v>
      </c>
      <c r="B155" s="2">
        <f t="shared" si="13"/>
        <v>50710</v>
      </c>
      <c r="C155" s="5">
        <f t="shared" si="14"/>
        <v>335.25617432328164</v>
      </c>
      <c r="D155" s="5">
        <f t="shared" si="15"/>
        <v>50.29382567671837</v>
      </c>
      <c r="E155" s="5">
        <f t="shared" si="16"/>
        <v>385.55</v>
      </c>
      <c r="F155" s="5">
        <f t="shared" si="17"/>
        <v>25905.000700486304</v>
      </c>
    </row>
    <row r="156" spans="1:6" x14ac:dyDescent="0.3">
      <c r="A156">
        <f t="shared" si="12"/>
        <v>71</v>
      </c>
      <c r="B156" s="2">
        <f t="shared" si="13"/>
        <v>50740</v>
      </c>
      <c r="C156" s="5">
        <f t="shared" si="14"/>
        <v>335.89874865740126</v>
      </c>
      <c r="D156" s="5">
        <f t="shared" si="15"/>
        <v>49.651251342598748</v>
      </c>
      <c r="E156" s="5">
        <f t="shared" si="16"/>
        <v>385.55</v>
      </c>
      <c r="F156" s="5">
        <f t="shared" si="17"/>
        <v>25569.101951828903</v>
      </c>
    </row>
    <row r="157" spans="1:6" x14ac:dyDescent="0.3">
      <c r="A157">
        <f t="shared" si="12"/>
        <v>70</v>
      </c>
      <c r="B157" s="2">
        <f t="shared" si="13"/>
        <v>50771</v>
      </c>
      <c r="C157" s="5">
        <f t="shared" si="14"/>
        <v>336.54255459232797</v>
      </c>
      <c r="D157" s="5">
        <f t="shared" si="15"/>
        <v>49.007445407672066</v>
      </c>
      <c r="E157" s="5">
        <f t="shared" si="16"/>
        <v>385.55</v>
      </c>
      <c r="F157" s="5">
        <f t="shared" si="17"/>
        <v>25232.559397236575</v>
      </c>
    </row>
    <row r="158" spans="1:6" x14ac:dyDescent="0.3">
      <c r="A158">
        <f t="shared" si="12"/>
        <v>69</v>
      </c>
      <c r="B158" s="2">
        <f t="shared" si="13"/>
        <v>50802</v>
      </c>
      <c r="C158" s="5">
        <f t="shared" si="14"/>
        <v>337.18759448862988</v>
      </c>
      <c r="D158" s="5">
        <f t="shared" si="15"/>
        <v>48.362405511370099</v>
      </c>
      <c r="E158" s="5">
        <f t="shared" si="16"/>
        <v>385.55</v>
      </c>
      <c r="F158" s="5">
        <f t="shared" si="17"/>
        <v>24895.371802747944</v>
      </c>
    </row>
    <row r="159" spans="1:6" x14ac:dyDescent="0.3">
      <c r="A159">
        <f t="shared" si="12"/>
        <v>68</v>
      </c>
      <c r="B159" s="2">
        <f t="shared" si="13"/>
        <v>50830</v>
      </c>
      <c r="C159" s="5">
        <f t="shared" si="14"/>
        <v>337.83387071139975</v>
      </c>
      <c r="D159" s="5">
        <f t="shared" si="15"/>
        <v>47.716129288600229</v>
      </c>
      <c r="E159" s="5">
        <f t="shared" si="16"/>
        <v>385.55</v>
      </c>
      <c r="F159" s="5">
        <f t="shared" si="17"/>
        <v>24557.537932036546</v>
      </c>
    </row>
    <row r="160" spans="1:6" x14ac:dyDescent="0.3">
      <c r="A160">
        <f t="shared" si="12"/>
        <v>67</v>
      </c>
      <c r="B160" s="2">
        <f t="shared" si="13"/>
        <v>50861</v>
      </c>
      <c r="C160" s="5">
        <f t="shared" si="14"/>
        <v>338.48138563026328</v>
      </c>
      <c r="D160" s="5">
        <f t="shared" si="15"/>
        <v>47.068614369736714</v>
      </c>
      <c r="E160" s="5">
        <f t="shared" si="16"/>
        <v>385.55</v>
      </c>
      <c r="F160" s="5">
        <f t="shared" si="17"/>
        <v>24219.056546406282</v>
      </c>
    </row>
    <row r="161" spans="1:6" x14ac:dyDescent="0.3">
      <c r="A161">
        <f t="shared" si="12"/>
        <v>66</v>
      </c>
      <c r="B161" s="2">
        <f t="shared" si="13"/>
        <v>50891</v>
      </c>
      <c r="C161" s="5">
        <f t="shared" si="14"/>
        <v>339.13014161938798</v>
      </c>
      <c r="D161" s="5">
        <f t="shared" si="15"/>
        <v>46.419858380612034</v>
      </c>
      <c r="E161" s="5">
        <f t="shared" si="16"/>
        <v>385.55</v>
      </c>
      <c r="F161" s="5">
        <f t="shared" si="17"/>
        <v>23879.926404786893</v>
      </c>
    </row>
    <row r="162" spans="1:6" x14ac:dyDescent="0.3">
      <c r="A162">
        <f t="shared" si="12"/>
        <v>65</v>
      </c>
      <c r="B162" s="2">
        <f t="shared" si="13"/>
        <v>50922</v>
      </c>
      <c r="C162" s="5">
        <f t="shared" si="14"/>
        <v>339.78014105749179</v>
      </c>
      <c r="D162" s="5">
        <f t="shared" si="15"/>
        <v>45.769858942508215</v>
      </c>
      <c r="E162" s="5">
        <f t="shared" si="16"/>
        <v>385.55</v>
      </c>
      <c r="F162" s="5">
        <f t="shared" si="17"/>
        <v>23540.146263729403</v>
      </c>
    </row>
    <row r="163" spans="1:6" x14ac:dyDescent="0.3">
      <c r="A163">
        <f t="shared" si="12"/>
        <v>64</v>
      </c>
      <c r="B163" s="2">
        <f t="shared" si="13"/>
        <v>50952</v>
      </c>
      <c r="C163" s="5">
        <f t="shared" si="14"/>
        <v>340.43138632785201</v>
      </c>
      <c r="D163" s="5">
        <f t="shared" si="15"/>
        <v>45.118613672148022</v>
      </c>
      <c r="E163" s="5">
        <f t="shared" si="16"/>
        <v>385.55</v>
      </c>
      <c r="F163" s="5">
        <f t="shared" si="17"/>
        <v>23199.714877401551</v>
      </c>
    </row>
    <row r="164" spans="1:6" x14ac:dyDescent="0.3">
      <c r="A164">
        <f t="shared" si="12"/>
        <v>63</v>
      </c>
      <c r="B164" s="2">
        <f t="shared" si="13"/>
        <v>50983</v>
      </c>
      <c r="C164" s="5">
        <f t="shared" si="14"/>
        <v>341.08387981831368</v>
      </c>
      <c r="D164" s="5">
        <f t="shared" si="15"/>
        <v>44.466120181686307</v>
      </c>
      <c r="E164" s="5">
        <f t="shared" si="16"/>
        <v>385.55</v>
      </c>
      <c r="F164" s="5">
        <f t="shared" si="17"/>
        <v>22858.630997583237</v>
      </c>
    </row>
    <row r="165" spans="1:6" x14ac:dyDescent="0.3">
      <c r="A165">
        <f t="shared" si="12"/>
        <v>62</v>
      </c>
      <c r="B165" s="2">
        <f t="shared" si="13"/>
        <v>51014</v>
      </c>
      <c r="C165" s="5">
        <f t="shared" si="14"/>
        <v>341.73762392129879</v>
      </c>
      <c r="D165" s="5">
        <f t="shared" si="15"/>
        <v>43.812376078701199</v>
      </c>
      <c r="E165" s="5">
        <f t="shared" si="16"/>
        <v>385.55</v>
      </c>
      <c r="F165" s="5">
        <f t="shared" si="17"/>
        <v>22516.89337366194</v>
      </c>
    </row>
    <row r="166" spans="1:6" x14ac:dyDescent="0.3">
      <c r="A166">
        <f t="shared" si="12"/>
        <v>61</v>
      </c>
      <c r="B166" s="2">
        <f t="shared" si="13"/>
        <v>51044</v>
      </c>
      <c r="C166" s="5">
        <f t="shared" si="14"/>
        <v>342.39262103381463</v>
      </c>
      <c r="D166" s="5">
        <f t="shared" si="15"/>
        <v>43.157378966185384</v>
      </c>
      <c r="E166" s="5">
        <f t="shared" si="16"/>
        <v>385.55</v>
      </c>
      <c r="F166" s="5">
        <f t="shared" si="17"/>
        <v>22174.500752628126</v>
      </c>
    </row>
    <row r="167" spans="1:6" x14ac:dyDescent="0.3">
      <c r="A167">
        <f t="shared" si="12"/>
        <v>60</v>
      </c>
      <c r="B167" s="2">
        <f t="shared" si="13"/>
        <v>51075</v>
      </c>
      <c r="C167" s="5">
        <f t="shared" si="14"/>
        <v>343.0488735574628</v>
      </c>
      <c r="D167" s="5">
        <f t="shared" si="15"/>
        <v>42.501126442537242</v>
      </c>
      <c r="E167" s="5">
        <f t="shared" si="16"/>
        <v>385.55</v>
      </c>
      <c r="F167" s="5">
        <f t="shared" si="17"/>
        <v>21831.451879070664</v>
      </c>
    </row>
    <row r="168" spans="1:6" x14ac:dyDescent="0.3">
      <c r="A168">
        <f t="shared" si="12"/>
        <v>59</v>
      </c>
      <c r="B168" s="2">
        <f t="shared" si="13"/>
        <v>51105</v>
      </c>
      <c r="C168" s="5">
        <f t="shared" si="14"/>
        <v>343.70638389844788</v>
      </c>
      <c r="D168" s="5">
        <f t="shared" si="15"/>
        <v>41.843616101552108</v>
      </c>
      <c r="E168" s="5">
        <f t="shared" si="16"/>
        <v>385.55</v>
      </c>
      <c r="F168" s="5">
        <f t="shared" si="17"/>
        <v>21487.745495172217</v>
      </c>
    </row>
    <row r="169" spans="1:6" x14ac:dyDescent="0.3">
      <c r="A169">
        <f t="shared" si="12"/>
        <v>58</v>
      </c>
      <c r="B169" s="2">
        <f t="shared" si="13"/>
        <v>51136</v>
      </c>
      <c r="C169" s="5">
        <f t="shared" si="14"/>
        <v>344.36515446758659</v>
      </c>
      <c r="D169" s="5">
        <f t="shared" si="15"/>
        <v>41.184845532413412</v>
      </c>
      <c r="E169" s="5">
        <f t="shared" si="16"/>
        <v>385.55</v>
      </c>
      <c r="F169" s="5">
        <f t="shared" si="17"/>
        <v>21143.380340704633</v>
      </c>
    </row>
    <row r="170" spans="1:6" x14ac:dyDescent="0.3">
      <c r="A170">
        <f t="shared" si="12"/>
        <v>57</v>
      </c>
      <c r="B170" s="2">
        <f t="shared" si="13"/>
        <v>51167</v>
      </c>
      <c r="C170" s="5">
        <f t="shared" si="14"/>
        <v>345.02518768031615</v>
      </c>
      <c r="D170" s="5">
        <f t="shared" si="15"/>
        <v>40.524812319683882</v>
      </c>
      <c r="E170" s="5">
        <f t="shared" si="16"/>
        <v>385.55</v>
      </c>
      <c r="F170" s="5">
        <f t="shared" si="17"/>
        <v>20798.355153024317</v>
      </c>
    </row>
    <row r="171" spans="1:6" x14ac:dyDescent="0.3">
      <c r="A171">
        <f t="shared" si="12"/>
        <v>56</v>
      </c>
      <c r="B171" s="2">
        <f t="shared" si="13"/>
        <v>51196</v>
      </c>
      <c r="C171" s="5">
        <f t="shared" si="14"/>
        <v>345.68648595670339</v>
      </c>
      <c r="D171" s="5">
        <f t="shared" si="15"/>
        <v>39.863514043296604</v>
      </c>
      <c r="E171" s="5">
        <f t="shared" si="16"/>
        <v>385.55</v>
      </c>
      <c r="F171" s="5">
        <f t="shared" si="17"/>
        <v>20452.668667067614</v>
      </c>
    </row>
    <row r="172" spans="1:6" x14ac:dyDescent="0.3">
      <c r="A172">
        <f t="shared" si="12"/>
        <v>55</v>
      </c>
      <c r="B172" s="2">
        <f t="shared" si="13"/>
        <v>51227</v>
      </c>
      <c r="C172" s="5">
        <f t="shared" si="14"/>
        <v>346.34905172145375</v>
      </c>
      <c r="D172" s="5">
        <f t="shared" si="15"/>
        <v>39.200948278546257</v>
      </c>
      <c r="E172" s="5">
        <f t="shared" si="16"/>
        <v>385.55</v>
      </c>
      <c r="F172" s="5">
        <f t="shared" si="17"/>
        <v>20106.319615346161</v>
      </c>
    </row>
    <row r="173" spans="1:6" x14ac:dyDescent="0.3">
      <c r="A173">
        <f t="shared" si="12"/>
        <v>54</v>
      </c>
      <c r="B173" s="2">
        <f t="shared" si="13"/>
        <v>51257</v>
      </c>
      <c r="C173" s="5">
        <f t="shared" si="14"/>
        <v>347.01288740391988</v>
      </c>
      <c r="D173" s="5">
        <f t="shared" si="15"/>
        <v>38.537112596080142</v>
      </c>
      <c r="E173" s="5">
        <f t="shared" si="16"/>
        <v>385.55</v>
      </c>
      <c r="F173" s="5">
        <f t="shared" si="17"/>
        <v>19759.306727942243</v>
      </c>
    </row>
    <row r="174" spans="1:6" x14ac:dyDescent="0.3">
      <c r="A174">
        <f t="shared" si="12"/>
        <v>53</v>
      </c>
      <c r="B174" s="2">
        <f t="shared" si="13"/>
        <v>51288</v>
      </c>
      <c r="C174" s="5">
        <f t="shared" si="14"/>
        <v>347.67799543811071</v>
      </c>
      <c r="D174" s="5">
        <f t="shared" si="15"/>
        <v>37.872004561889298</v>
      </c>
      <c r="E174" s="5">
        <f t="shared" si="16"/>
        <v>385.55</v>
      </c>
      <c r="F174" s="5">
        <f t="shared" si="17"/>
        <v>19411.628732504134</v>
      </c>
    </row>
    <row r="175" spans="1:6" x14ac:dyDescent="0.3">
      <c r="A175">
        <f t="shared" si="12"/>
        <v>52</v>
      </c>
      <c r="B175" s="2">
        <f t="shared" si="13"/>
        <v>51318</v>
      </c>
      <c r="C175" s="5">
        <f t="shared" si="14"/>
        <v>348.34437826270045</v>
      </c>
      <c r="D175" s="5">
        <f t="shared" si="15"/>
        <v>37.205621737299587</v>
      </c>
      <c r="E175" s="5">
        <f t="shared" si="16"/>
        <v>385.55</v>
      </c>
      <c r="F175" s="5">
        <f t="shared" si="17"/>
        <v>19063.284354241434</v>
      </c>
    </row>
    <row r="176" spans="1:6" x14ac:dyDescent="0.3">
      <c r="A176">
        <f t="shared" si="12"/>
        <v>51</v>
      </c>
      <c r="B176" s="2">
        <f t="shared" si="13"/>
        <v>51349</v>
      </c>
      <c r="C176" s="5">
        <f t="shared" si="14"/>
        <v>349.01203832103727</v>
      </c>
      <c r="D176" s="5">
        <f t="shared" si="15"/>
        <v>36.537961678962752</v>
      </c>
      <c r="E176" s="5">
        <f t="shared" si="16"/>
        <v>385.55</v>
      </c>
      <c r="F176" s="5">
        <f t="shared" si="17"/>
        <v>18714.272315920396</v>
      </c>
    </row>
    <row r="177" spans="1:6" x14ac:dyDescent="0.3">
      <c r="A177">
        <f t="shared" si="12"/>
        <v>50</v>
      </c>
      <c r="B177" s="2">
        <f t="shared" si="13"/>
        <v>51380</v>
      </c>
      <c r="C177" s="5">
        <f t="shared" si="14"/>
        <v>349.68097806115259</v>
      </c>
      <c r="D177" s="5">
        <f t="shared" si="15"/>
        <v>35.869021938847425</v>
      </c>
      <c r="E177" s="5">
        <f t="shared" si="16"/>
        <v>385.55</v>
      </c>
      <c r="F177" s="5">
        <f t="shared" si="17"/>
        <v>18364.591337859245</v>
      </c>
    </row>
    <row r="178" spans="1:6" x14ac:dyDescent="0.3">
      <c r="A178">
        <f t="shared" si="12"/>
        <v>49</v>
      </c>
      <c r="B178" s="2">
        <f t="shared" si="13"/>
        <v>51410</v>
      </c>
      <c r="C178" s="5">
        <f t="shared" si="14"/>
        <v>350.35119993576978</v>
      </c>
      <c r="D178" s="5">
        <f t="shared" si="15"/>
        <v>35.19880006423022</v>
      </c>
      <c r="E178" s="5">
        <f t="shared" si="16"/>
        <v>385.55</v>
      </c>
      <c r="F178" s="5">
        <f t="shared" si="17"/>
        <v>18014.240137923476</v>
      </c>
    </row>
    <row r="179" spans="1:6" x14ac:dyDescent="0.3">
      <c r="A179">
        <f t="shared" si="12"/>
        <v>48</v>
      </c>
      <c r="B179" s="2">
        <f t="shared" si="13"/>
        <v>51441</v>
      </c>
      <c r="C179" s="5">
        <f t="shared" si="14"/>
        <v>351.02270640231336</v>
      </c>
      <c r="D179" s="5">
        <f t="shared" si="15"/>
        <v>34.527293597686658</v>
      </c>
      <c r="E179" s="5">
        <f t="shared" si="16"/>
        <v>385.55</v>
      </c>
      <c r="F179" s="5">
        <f t="shared" si="17"/>
        <v>17663.217431521163</v>
      </c>
    </row>
    <row r="180" spans="1:6" x14ac:dyDescent="0.3">
      <c r="A180">
        <f t="shared" si="12"/>
        <v>47</v>
      </c>
      <c r="B180" s="2">
        <f t="shared" si="13"/>
        <v>51471</v>
      </c>
      <c r="C180" s="5">
        <f t="shared" si="14"/>
        <v>351.6954999229178</v>
      </c>
      <c r="D180" s="5">
        <f t="shared" si="15"/>
        <v>33.854500077082228</v>
      </c>
      <c r="E180" s="5">
        <f t="shared" si="16"/>
        <v>385.55</v>
      </c>
      <c r="F180" s="5">
        <f t="shared" si="17"/>
        <v>17311.521931598247</v>
      </c>
    </row>
    <row r="181" spans="1:6" x14ac:dyDescent="0.3">
      <c r="A181">
        <f t="shared" si="12"/>
        <v>46</v>
      </c>
      <c r="B181" s="2">
        <f t="shared" si="13"/>
        <v>51502</v>
      </c>
      <c r="C181" s="5">
        <f t="shared" si="14"/>
        <v>352.36958296443669</v>
      </c>
      <c r="D181" s="5">
        <f t="shared" si="15"/>
        <v>33.180417035563302</v>
      </c>
      <c r="E181" s="5">
        <f t="shared" si="16"/>
        <v>385.55</v>
      </c>
      <c r="F181" s="5">
        <f t="shared" si="17"/>
        <v>16959.152348633808</v>
      </c>
    </row>
    <row r="182" spans="1:6" x14ac:dyDescent="0.3">
      <c r="A182">
        <f t="shared" si="12"/>
        <v>45</v>
      </c>
      <c r="B182" s="2">
        <f t="shared" si="13"/>
        <v>51533</v>
      </c>
      <c r="C182" s="5">
        <f t="shared" si="14"/>
        <v>353.04495799845188</v>
      </c>
      <c r="D182" s="5">
        <f t="shared" si="15"/>
        <v>32.505042001548134</v>
      </c>
      <c r="E182" s="5">
        <f t="shared" si="16"/>
        <v>385.55</v>
      </c>
      <c r="F182" s="5">
        <f t="shared" si="17"/>
        <v>16606.107390635356</v>
      </c>
    </row>
    <row r="183" spans="1:6" x14ac:dyDescent="0.3">
      <c r="A183">
        <f t="shared" si="12"/>
        <v>44</v>
      </c>
      <c r="B183" s="2">
        <f t="shared" si="13"/>
        <v>51561</v>
      </c>
      <c r="C183" s="5">
        <f t="shared" si="14"/>
        <v>353.72162750128223</v>
      </c>
      <c r="D183" s="5">
        <f t="shared" si="15"/>
        <v>31.828372498717766</v>
      </c>
      <c r="E183" s="5">
        <f t="shared" si="16"/>
        <v>385.55</v>
      </c>
      <c r="F183" s="5">
        <f t="shared" si="17"/>
        <v>16252.385763134074</v>
      </c>
    </row>
    <row r="184" spans="1:6" x14ac:dyDescent="0.3">
      <c r="A184">
        <f t="shared" si="12"/>
        <v>43</v>
      </c>
      <c r="B184" s="2">
        <f t="shared" si="13"/>
        <v>51592</v>
      </c>
      <c r="C184" s="5">
        <f t="shared" si="14"/>
        <v>354.39959395399302</v>
      </c>
      <c r="D184" s="5">
        <f t="shared" si="15"/>
        <v>31.150406046006974</v>
      </c>
      <c r="E184" s="5">
        <f t="shared" si="16"/>
        <v>385.55</v>
      </c>
      <c r="F184" s="5">
        <f t="shared" si="17"/>
        <v>15897.986169180082</v>
      </c>
    </row>
    <row r="185" spans="1:6" x14ac:dyDescent="0.3">
      <c r="A185">
        <f t="shared" si="12"/>
        <v>42</v>
      </c>
      <c r="B185" s="2">
        <f t="shared" si="13"/>
        <v>51622</v>
      </c>
      <c r="C185" s="5">
        <f t="shared" si="14"/>
        <v>355.07885984240488</v>
      </c>
      <c r="D185" s="5">
        <f t="shared" si="15"/>
        <v>30.471140157595155</v>
      </c>
      <c r="E185" s="5">
        <f t="shared" si="16"/>
        <v>385.55</v>
      </c>
      <c r="F185" s="5">
        <f t="shared" si="17"/>
        <v>15542.907309337677</v>
      </c>
    </row>
    <row r="186" spans="1:6" x14ac:dyDescent="0.3">
      <c r="A186">
        <f t="shared" si="12"/>
        <v>41</v>
      </c>
      <c r="B186" s="2">
        <f t="shared" si="13"/>
        <v>51653</v>
      </c>
      <c r="C186" s="5">
        <f t="shared" si="14"/>
        <v>355.75942765710278</v>
      </c>
      <c r="D186" s="5">
        <f t="shared" si="15"/>
        <v>29.790572342897217</v>
      </c>
      <c r="E186" s="5">
        <f t="shared" si="16"/>
        <v>385.55</v>
      </c>
      <c r="F186" s="5">
        <f t="shared" si="17"/>
        <v>15187.147881680574</v>
      </c>
    </row>
    <row r="187" spans="1:6" x14ac:dyDescent="0.3">
      <c r="A187">
        <f t="shared" si="12"/>
        <v>40</v>
      </c>
      <c r="B187" s="2">
        <f t="shared" si="13"/>
        <v>51683</v>
      </c>
      <c r="C187" s="5">
        <f t="shared" si="14"/>
        <v>356.4412998934456</v>
      </c>
      <c r="D187" s="5">
        <f t="shared" si="15"/>
        <v>29.108700106554434</v>
      </c>
      <c r="E187" s="5">
        <f t="shared" si="16"/>
        <v>385.55</v>
      </c>
      <c r="F187" s="5">
        <f t="shared" si="17"/>
        <v>14830.706581787128</v>
      </c>
    </row>
    <row r="188" spans="1:6" x14ac:dyDescent="0.3">
      <c r="A188">
        <f t="shared" si="12"/>
        <v>39</v>
      </c>
      <c r="B188" s="2">
        <f t="shared" si="13"/>
        <v>51714</v>
      </c>
      <c r="C188" s="5">
        <f t="shared" si="14"/>
        <v>357.12447905157467</v>
      </c>
      <c r="D188" s="5">
        <f t="shared" si="15"/>
        <v>28.42552094842533</v>
      </c>
      <c r="E188" s="5">
        <f t="shared" si="16"/>
        <v>385.55</v>
      </c>
      <c r="F188" s="5">
        <f t="shared" si="17"/>
        <v>14473.582102735554</v>
      </c>
    </row>
    <row r="189" spans="1:6" x14ac:dyDescent="0.3">
      <c r="A189">
        <f t="shared" si="12"/>
        <v>38</v>
      </c>
      <c r="B189" s="2">
        <f t="shared" si="13"/>
        <v>51745</v>
      </c>
      <c r="C189" s="5">
        <f t="shared" si="14"/>
        <v>357.80896763642352</v>
      </c>
      <c r="D189" s="5">
        <f t="shared" si="15"/>
        <v>27.74103236357648</v>
      </c>
      <c r="E189" s="5">
        <f t="shared" si="16"/>
        <v>385.55</v>
      </c>
      <c r="F189" s="5">
        <f t="shared" si="17"/>
        <v>14115.773135099131</v>
      </c>
    </row>
    <row r="190" spans="1:6" x14ac:dyDescent="0.3">
      <c r="A190">
        <f t="shared" si="12"/>
        <v>37</v>
      </c>
      <c r="B190" s="2">
        <f t="shared" si="13"/>
        <v>51775</v>
      </c>
      <c r="C190" s="5">
        <f t="shared" si="14"/>
        <v>358.4947681577267</v>
      </c>
      <c r="D190" s="5">
        <f t="shared" si="15"/>
        <v>27.055231842273333</v>
      </c>
      <c r="E190" s="5">
        <f t="shared" si="16"/>
        <v>385.55</v>
      </c>
      <c r="F190" s="5">
        <f t="shared" si="17"/>
        <v>13757.278366941404</v>
      </c>
    </row>
    <row r="191" spans="1:6" x14ac:dyDescent="0.3">
      <c r="A191">
        <f t="shared" si="12"/>
        <v>36</v>
      </c>
      <c r="B191" s="2">
        <f t="shared" si="13"/>
        <v>51806</v>
      </c>
      <c r="C191" s="5">
        <f t="shared" si="14"/>
        <v>359.18188313002901</v>
      </c>
      <c r="D191" s="5">
        <f t="shared" si="15"/>
        <v>26.368116869971022</v>
      </c>
      <c r="E191" s="5">
        <f t="shared" si="16"/>
        <v>385.55</v>
      </c>
      <c r="F191" s="5">
        <f t="shared" si="17"/>
        <v>13398.096483811374</v>
      </c>
    </row>
    <row r="192" spans="1:6" x14ac:dyDescent="0.3">
      <c r="A192">
        <f t="shared" si="12"/>
        <v>35</v>
      </c>
      <c r="B192" s="2">
        <f t="shared" si="13"/>
        <v>51836</v>
      </c>
      <c r="C192" s="5">
        <f t="shared" si="14"/>
        <v>359.87031507269489</v>
      </c>
      <c r="D192" s="5">
        <f t="shared" si="15"/>
        <v>25.679684927305132</v>
      </c>
      <c r="E192" s="5">
        <f t="shared" si="16"/>
        <v>385.55</v>
      </c>
      <c r="F192" s="5">
        <f t="shared" si="17"/>
        <v>13038.22616873868</v>
      </c>
    </row>
    <row r="193" spans="1:6" x14ac:dyDescent="0.3">
      <c r="A193">
        <f t="shared" si="12"/>
        <v>34</v>
      </c>
      <c r="B193" s="2">
        <f t="shared" si="13"/>
        <v>51867</v>
      </c>
      <c r="C193" s="5">
        <f t="shared" si="14"/>
        <v>360.56006650991753</v>
      </c>
      <c r="D193" s="5">
        <f t="shared" si="15"/>
        <v>24.989933490082468</v>
      </c>
      <c r="E193" s="5">
        <f t="shared" si="16"/>
        <v>385.55</v>
      </c>
      <c r="F193" s="5">
        <f t="shared" si="17"/>
        <v>12677.666102228763</v>
      </c>
    </row>
    <row r="194" spans="1:6" x14ac:dyDescent="0.3">
      <c r="A194">
        <f t="shared" si="12"/>
        <v>33</v>
      </c>
      <c r="B194" s="2">
        <f t="shared" si="13"/>
        <v>51898</v>
      </c>
      <c r="C194" s="5">
        <f t="shared" si="14"/>
        <v>361.25113997072822</v>
      </c>
      <c r="D194" s="5">
        <f t="shared" si="15"/>
        <v>24.298860029271793</v>
      </c>
      <c r="E194" s="5">
        <f t="shared" si="16"/>
        <v>385.55</v>
      </c>
      <c r="F194" s="5">
        <f t="shared" si="17"/>
        <v>12316.414962258033</v>
      </c>
    </row>
    <row r="195" spans="1:6" x14ac:dyDescent="0.3">
      <c r="A195">
        <f t="shared" si="12"/>
        <v>32</v>
      </c>
      <c r="B195" s="2">
        <f t="shared" si="13"/>
        <v>51926</v>
      </c>
      <c r="C195" s="5">
        <f t="shared" si="14"/>
        <v>361.94353798900545</v>
      </c>
      <c r="D195" s="5">
        <f t="shared" si="15"/>
        <v>23.606462010994562</v>
      </c>
      <c r="E195" s="5">
        <f t="shared" si="16"/>
        <v>385.55</v>
      </c>
      <c r="F195" s="5">
        <f t="shared" si="17"/>
        <v>11954.471424269028</v>
      </c>
    </row>
    <row r="196" spans="1:6" x14ac:dyDescent="0.3">
      <c r="A196">
        <f t="shared" si="12"/>
        <v>31</v>
      </c>
      <c r="B196" s="2">
        <f t="shared" si="13"/>
        <v>51957</v>
      </c>
      <c r="C196" s="5">
        <f t="shared" si="14"/>
        <v>362.63726310348437</v>
      </c>
      <c r="D196" s="5">
        <f t="shared" si="15"/>
        <v>22.912736896515636</v>
      </c>
      <c r="E196" s="5">
        <f t="shared" si="16"/>
        <v>385.55</v>
      </c>
      <c r="F196" s="5">
        <f t="shared" si="17"/>
        <v>11591.834161165543</v>
      </c>
    </row>
    <row r="197" spans="1:6" x14ac:dyDescent="0.3">
      <c r="A197">
        <f t="shared" si="12"/>
        <v>30</v>
      </c>
      <c r="B197" s="2">
        <f t="shared" si="13"/>
        <v>51987</v>
      </c>
      <c r="C197" s="5">
        <f t="shared" si="14"/>
        <v>363.33231785776604</v>
      </c>
      <c r="D197" s="5">
        <f t="shared" si="15"/>
        <v>22.217682142233958</v>
      </c>
      <c r="E197" s="5">
        <f t="shared" si="16"/>
        <v>385.55</v>
      </c>
      <c r="F197" s="5">
        <f t="shared" si="17"/>
        <v>11228.501843307777</v>
      </c>
    </row>
    <row r="198" spans="1:6" x14ac:dyDescent="0.3">
      <c r="A198">
        <f t="shared" si="12"/>
        <v>29</v>
      </c>
      <c r="B198" s="2">
        <f t="shared" si="13"/>
        <v>52018</v>
      </c>
      <c r="C198" s="5">
        <f t="shared" si="14"/>
        <v>364.02870480032675</v>
      </c>
      <c r="D198" s="5">
        <f t="shared" si="15"/>
        <v>21.521295199673236</v>
      </c>
      <c r="E198" s="5">
        <f t="shared" si="16"/>
        <v>385.55</v>
      </c>
      <c r="F198" s="5">
        <f t="shared" si="17"/>
        <v>10864.47313850745</v>
      </c>
    </row>
    <row r="199" spans="1:6" x14ac:dyDescent="0.3">
      <c r="A199">
        <f t="shared" si="12"/>
        <v>28</v>
      </c>
      <c r="B199" s="2">
        <f t="shared" si="13"/>
        <v>52048</v>
      </c>
      <c r="C199" s="5">
        <f t="shared" si="14"/>
        <v>364.72642648452739</v>
      </c>
      <c r="D199" s="5">
        <f t="shared" si="15"/>
        <v>20.823573515472614</v>
      </c>
      <c r="E199" s="5">
        <f t="shared" si="16"/>
        <v>385.55</v>
      </c>
      <c r="F199" s="5">
        <f t="shared" si="17"/>
        <v>10499.746712022923</v>
      </c>
    </row>
    <row r="200" spans="1:6" x14ac:dyDescent="0.3">
      <c r="A200">
        <f t="shared" si="12"/>
        <v>27</v>
      </c>
      <c r="B200" s="2">
        <f t="shared" si="13"/>
        <v>52079</v>
      </c>
      <c r="C200" s="5">
        <f t="shared" si="14"/>
        <v>365.42548546862275</v>
      </c>
      <c r="D200" s="5">
        <f t="shared" si="15"/>
        <v>20.124514531377269</v>
      </c>
      <c r="E200" s="5">
        <f t="shared" si="16"/>
        <v>385.55</v>
      </c>
      <c r="F200" s="5">
        <f t="shared" si="17"/>
        <v>10134.321226554301</v>
      </c>
    </row>
    <row r="201" spans="1:6" x14ac:dyDescent="0.3">
      <c r="A201">
        <f t="shared" ref="A201:A226" si="18">A200-1</f>
        <v>26</v>
      </c>
      <c r="B201" s="2">
        <f t="shared" si="13"/>
        <v>52110</v>
      </c>
      <c r="C201" s="5">
        <f t="shared" si="14"/>
        <v>366.12588431577092</v>
      </c>
      <c r="D201" s="5">
        <f t="shared" si="15"/>
        <v>19.424115684229076</v>
      </c>
      <c r="E201" s="5">
        <f t="shared" si="16"/>
        <v>385.55</v>
      </c>
      <c r="F201" s="5">
        <f t="shared" si="17"/>
        <v>9768.1953422385304</v>
      </c>
    </row>
    <row r="202" spans="1:6" x14ac:dyDescent="0.3">
      <c r="A202">
        <f t="shared" si="18"/>
        <v>25</v>
      </c>
      <c r="B202" s="2">
        <f t="shared" ref="B202:B226" si="19">EDATE(B201,1)</f>
        <v>52140</v>
      </c>
      <c r="C202" s="5">
        <f t="shared" ref="C202:C226" si="20">$C$2-D202</f>
        <v>366.82762559404284</v>
      </c>
      <c r="D202" s="5">
        <f t="shared" ref="D202:D226" si="21">F201*$B$2/12</f>
        <v>18.722374405957183</v>
      </c>
      <c r="E202" s="5">
        <f t="shared" ref="E202:E226" si="22">$C$2</f>
        <v>385.55</v>
      </c>
      <c r="F202" s="5">
        <f t="shared" ref="F202:F226" si="23">F201-C202</f>
        <v>9401.3677166444868</v>
      </c>
    </row>
    <row r="203" spans="1:6" x14ac:dyDescent="0.3">
      <c r="A203">
        <f t="shared" si="18"/>
        <v>24</v>
      </c>
      <c r="B203" s="2">
        <f t="shared" si="19"/>
        <v>52171</v>
      </c>
      <c r="C203" s="5">
        <f t="shared" si="20"/>
        <v>367.53071187643138</v>
      </c>
      <c r="D203" s="5">
        <f t="shared" si="21"/>
        <v>18.0192881235686</v>
      </c>
      <c r="E203" s="5">
        <f t="shared" si="22"/>
        <v>385.55</v>
      </c>
      <c r="F203" s="5">
        <f t="shared" si="23"/>
        <v>9033.8370047680546</v>
      </c>
    </row>
    <row r="204" spans="1:6" x14ac:dyDescent="0.3">
      <c r="A204">
        <f t="shared" si="18"/>
        <v>23</v>
      </c>
      <c r="B204" s="2">
        <f t="shared" si="19"/>
        <v>52201</v>
      </c>
      <c r="C204" s="5">
        <f t="shared" si="20"/>
        <v>368.23514574086124</v>
      </c>
      <c r="D204" s="5">
        <f t="shared" si="21"/>
        <v>17.314854259138773</v>
      </c>
      <c r="E204" s="5">
        <f t="shared" si="22"/>
        <v>385.55</v>
      </c>
      <c r="F204" s="5">
        <f t="shared" si="23"/>
        <v>8665.6018590271942</v>
      </c>
    </row>
    <row r="205" spans="1:6" x14ac:dyDescent="0.3">
      <c r="A205">
        <f t="shared" si="18"/>
        <v>22</v>
      </c>
      <c r="B205" s="2">
        <f t="shared" si="19"/>
        <v>52232</v>
      </c>
      <c r="C205" s="5">
        <f t="shared" si="20"/>
        <v>368.9409297701979</v>
      </c>
      <c r="D205" s="5">
        <f t="shared" si="21"/>
        <v>16.609070229802121</v>
      </c>
      <c r="E205" s="5">
        <f t="shared" si="22"/>
        <v>385.55</v>
      </c>
      <c r="F205" s="5">
        <f t="shared" si="23"/>
        <v>8296.6609292569956</v>
      </c>
    </row>
    <row r="206" spans="1:6" x14ac:dyDescent="0.3">
      <c r="A206">
        <f t="shared" si="18"/>
        <v>21</v>
      </c>
      <c r="B206" s="2">
        <f t="shared" si="19"/>
        <v>52263</v>
      </c>
      <c r="C206" s="5">
        <f t="shared" si="20"/>
        <v>369.64806655225743</v>
      </c>
      <c r="D206" s="5">
        <f t="shared" si="21"/>
        <v>15.901933447742573</v>
      </c>
      <c r="E206" s="5">
        <f t="shared" si="22"/>
        <v>385.55</v>
      </c>
      <c r="F206" s="5">
        <f t="shared" si="23"/>
        <v>7927.0128627047379</v>
      </c>
    </row>
    <row r="207" spans="1:6" x14ac:dyDescent="0.3">
      <c r="A207">
        <f t="shared" si="18"/>
        <v>20</v>
      </c>
      <c r="B207" s="2">
        <f t="shared" si="19"/>
        <v>52291</v>
      </c>
      <c r="C207" s="5">
        <f t="shared" si="20"/>
        <v>370.35655867981592</v>
      </c>
      <c r="D207" s="5">
        <f t="shared" si="21"/>
        <v>15.19344132018408</v>
      </c>
      <c r="E207" s="5">
        <f t="shared" si="22"/>
        <v>385.55</v>
      </c>
      <c r="F207" s="5">
        <f t="shared" si="23"/>
        <v>7556.6563040249221</v>
      </c>
    </row>
    <row r="208" spans="1:6" x14ac:dyDescent="0.3">
      <c r="A208">
        <f t="shared" si="18"/>
        <v>19</v>
      </c>
      <c r="B208" s="2">
        <f t="shared" si="19"/>
        <v>52322</v>
      </c>
      <c r="C208" s="5">
        <f t="shared" si="20"/>
        <v>371.0664087506189</v>
      </c>
      <c r="D208" s="5">
        <f t="shared" si="21"/>
        <v>14.483591249381099</v>
      </c>
      <c r="E208" s="5">
        <f t="shared" si="22"/>
        <v>385.55</v>
      </c>
      <c r="F208" s="5">
        <f t="shared" si="23"/>
        <v>7185.5898952743028</v>
      </c>
    </row>
    <row r="209" spans="1:6" x14ac:dyDescent="0.3">
      <c r="A209">
        <f t="shared" si="18"/>
        <v>18</v>
      </c>
      <c r="B209" s="2">
        <f t="shared" si="19"/>
        <v>52352</v>
      </c>
      <c r="C209" s="5">
        <f t="shared" si="20"/>
        <v>371.77761936739091</v>
      </c>
      <c r="D209" s="5">
        <f t="shared" si="21"/>
        <v>13.77238063260908</v>
      </c>
      <c r="E209" s="5">
        <f t="shared" si="22"/>
        <v>385.55</v>
      </c>
      <c r="F209" s="5">
        <f t="shared" si="23"/>
        <v>6813.812275906912</v>
      </c>
    </row>
    <row r="210" spans="1:6" x14ac:dyDescent="0.3">
      <c r="A210">
        <f t="shared" si="18"/>
        <v>17</v>
      </c>
      <c r="B210" s="2">
        <f t="shared" si="19"/>
        <v>52383</v>
      </c>
      <c r="C210" s="5">
        <f t="shared" si="20"/>
        <v>372.4901931378451</v>
      </c>
      <c r="D210" s="5">
        <f t="shared" si="21"/>
        <v>13.059806862154915</v>
      </c>
      <c r="E210" s="5">
        <f t="shared" si="22"/>
        <v>385.55</v>
      </c>
      <c r="F210" s="5">
        <f t="shared" si="23"/>
        <v>6441.3220827690666</v>
      </c>
    </row>
    <row r="211" spans="1:6" x14ac:dyDescent="0.3">
      <c r="A211">
        <f t="shared" si="18"/>
        <v>16</v>
      </c>
      <c r="B211" s="2">
        <f t="shared" si="19"/>
        <v>52413</v>
      </c>
      <c r="C211" s="5">
        <f t="shared" si="20"/>
        <v>373.20413267469263</v>
      </c>
      <c r="D211" s="5">
        <f t="shared" si="21"/>
        <v>12.345867325307376</v>
      </c>
      <c r="E211" s="5">
        <f t="shared" si="22"/>
        <v>385.55</v>
      </c>
      <c r="F211" s="5">
        <f t="shared" si="23"/>
        <v>6068.1179500943736</v>
      </c>
    </row>
    <row r="212" spans="1:6" x14ac:dyDescent="0.3">
      <c r="A212">
        <f t="shared" si="18"/>
        <v>15</v>
      </c>
      <c r="B212" s="2">
        <f t="shared" si="19"/>
        <v>52444</v>
      </c>
      <c r="C212" s="5">
        <f t="shared" si="20"/>
        <v>373.91944059565247</v>
      </c>
      <c r="D212" s="5">
        <f t="shared" si="21"/>
        <v>11.630559404347549</v>
      </c>
      <c r="E212" s="5">
        <f t="shared" si="22"/>
        <v>385.55</v>
      </c>
      <c r="F212" s="5">
        <f t="shared" si="23"/>
        <v>5694.1985094987213</v>
      </c>
    </row>
    <row r="213" spans="1:6" x14ac:dyDescent="0.3">
      <c r="A213">
        <f t="shared" si="18"/>
        <v>14</v>
      </c>
      <c r="B213" s="2">
        <f t="shared" si="19"/>
        <v>52475</v>
      </c>
      <c r="C213" s="5">
        <f t="shared" si="20"/>
        <v>374.63611952346082</v>
      </c>
      <c r="D213" s="5">
        <f t="shared" si="21"/>
        <v>10.913880476539214</v>
      </c>
      <c r="E213" s="5">
        <f t="shared" si="22"/>
        <v>385.55</v>
      </c>
      <c r="F213" s="5">
        <f t="shared" si="23"/>
        <v>5319.5623899752609</v>
      </c>
    </row>
    <row r="214" spans="1:6" x14ac:dyDescent="0.3">
      <c r="A214">
        <f t="shared" si="18"/>
        <v>13</v>
      </c>
      <c r="B214" s="2">
        <f t="shared" si="19"/>
        <v>52505</v>
      </c>
      <c r="C214" s="5">
        <f t="shared" si="20"/>
        <v>375.35417208588075</v>
      </c>
      <c r="D214" s="5">
        <f t="shared" si="21"/>
        <v>10.195827914119251</v>
      </c>
      <c r="E214" s="5">
        <f t="shared" si="22"/>
        <v>385.55</v>
      </c>
      <c r="F214" s="5">
        <f t="shared" si="23"/>
        <v>4944.2082178893797</v>
      </c>
    </row>
    <row r="215" spans="1:6" x14ac:dyDescent="0.3">
      <c r="A215">
        <f t="shared" si="18"/>
        <v>12</v>
      </c>
      <c r="B215" s="2">
        <f t="shared" si="19"/>
        <v>52536</v>
      </c>
      <c r="C215" s="5">
        <f t="shared" si="20"/>
        <v>376.07360091571201</v>
      </c>
      <c r="D215" s="5">
        <f t="shared" si="21"/>
        <v>9.4763990842879782</v>
      </c>
      <c r="E215" s="5">
        <f t="shared" si="22"/>
        <v>385.55</v>
      </c>
      <c r="F215" s="5">
        <f t="shared" si="23"/>
        <v>4568.134616973668</v>
      </c>
    </row>
    <row r="216" spans="1:6" x14ac:dyDescent="0.3">
      <c r="A216">
        <f t="shared" si="18"/>
        <v>11</v>
      </c>
      <c r="B216" s="2">
        <f t="shared" si="19"/>
        <v>52566</v>
      </c>
      <c r="C216" s="5">
        <f t="shared" si="20"/>
        <v>376.79440865080051</v>
      </c>
      <c r="D216" s="5">
        <f t="shared" si="21"/>
        <v>8.7555913491995305</v>
      </c>
      <c r="E216" s="5">
        <f t="shared" si="22"/>
        <v>385.55</v>
      </c>
      <c r="F216" s="5">
        <f t="shared" si="23"/>
        <v>4191.3402083228675</v>
      </c>
    </row>
    <row r="217" spans="1:6" x14ac:dyDescent="0.3">
      <c r="A217">
        <f t="shared" si="18"/>
        <v>10</v>
      </c>
      <c r="B217" s="2">
        <f t="shared" si="19"/>
        <v>52597</v>
      </c>
      <c r="C217" s="5">
        <f t="shared" si="20"/>
        <v>377.51659793404787</v>
      </c>
      <c r="D217" s="5">
        <f t="shared" si="21"/>
        <v>8.0334020659521617</v>
      </c>
      <c r="E217" s="5">
        <f t="shared" si="22"/>
        <v>385.55</v>
      </c>
      <c r="F217" s="5">
        <f t="shared" si="23"/>
        <v>3813.8236103888198</v>
      </c>
    </row>
    <row r="218" spans="1:6" x14ac:dyDescent="0.3">
      <c r="A218">
        <f t="shared" si="18"/>
        <v>9</v>
      </c>
      <c r="B218" s="2">
        <f t="shared" si="19"/>
        <v>52628</v>
      </c>
      <c r="C218" s="5">
        <f t="shared" si="20"/>
        <v>378.24017141342142</v>
      </c>
      <c r="D218" s="5">
        <f t="shared" si="21"/>
        <v>7.309828586578571</v>
      </c>
      <c r="E218" s="5">
        <f t="shared" si="22"/>
        <v>385.55</v>
      </c>
      <c r="F218" s="5">
        <f t="shared" si="23"/>
        <v>3435.5834389753982</v>
      </c>
    </row>
    <row r="219" spans="1:6" x14ac:dyDescent="0.3">
      <c r="A219">
        <f t="shared" si="18"/>
        <v>8</v>
      </c>
      <c r="B219" s="2">
        <f t="shared" si="19"/>
        <v>52657</v>
      </c>
      <c r="C219" s="5">
        <f t="shared" si="20"/>
        <v>378.96513174196383</v>
      </c>
      <c r="D219" s="5">
        <f t="shared" si="21"/>
        <v>6.5848682580361801</v>
      </c>
      <c r="E219" s="5">
        <f t="shared" si="22"/>
        <v>385.55</v>
      </c>
      <c r="F219" s="5">
        <f t="shared" si="23"/>
        <v>3056.6183072334343</v>
      </c>
    </row>
    <row r="220" spans="1:6" x14ac:dyDescent="0.3">
      <c r="A220">
        <f t="shared" si="18"/>
        <v>7</v>
      </c>
      <c r="B220" s="2">
        <f t="shared" si="19"/>
        <v>52688</v>
      </c>
      <c r="C220" s="5">
        <f t="shared" si="20"/>
        <v>379.69148157780262</v>
      </c>
      <c r="D220" s="5">
        <f t="shared" si="21"/>
        <v>5.8585184221974158</v>
      </c>
      <c r="E220" s="5">
        <f t="shared" si="22"/>
        <v>385.55</v>
      </c>
      <c r="F220" s="5">
        <f t="shared" si="23"/>
        <v>2676.9268256556315</v>
      </c>
    </row>
    <row r="221" spans="1:6" x14ac:dyDescent="0.3">
      <c r="A221">
        <f t="shared" si="18"/>
        <v>6</v>
      </c>
      <c r="B221" s="2">
        <f t="shared" si="19"/>
        <v>52718</v>
      </c>
      <c r="C221" s="5">
        <f t="shared" si="20"/>
        <v>380.41922358416008</v>
      </c>
      <c r="D221" s="5">
        <f t="shared" si="21"/>
        <v>5.1307764158399598</v>
      </c>
      <c r="E221" s="5">
        <f t="shared" si="22"/>
        <v>385.55</v>
      </c>
      <c r="F221" s="5">
        <f t="shared" si="23"/>
        <v>2296.5076020714714</v>
      </c>
    </row>
    <row r="222" spans="1:6" x14ac:dyDescent="0.3">
      <c r="A222">
        <f t="shared" si="18"/>
        <v>5</v>
      </c>
      <c r="B222" s="2">
        <f t="shared" si="19"/>
        <v>52749</v>
      </c>
      <c r="C222" s="5">
        <f t="shared" si="20"/>
        <v>381.14836042936304</v>
      </c>
      <c r="D222" s="5">
        <f t="shared" si="21"/>
        <v>4.4016395706369869</v>
      </c>
      <c r="E222" s="5">
        <f t="shared" si="22"/>
        <v>385.55</v>
      </c>
      <c r="F222" s="5">
        <f t="shared" si="23"/>
        <v>1915.3592416421084</v>
      </c>
    </row>
    <row r="223" spans="1:6" x14ac:dyDescent="0.3">
      <c r="A223">
        <f t="shared" si="18"/>
        <v>4</v>
      </c>
      <c r="B223" s="2">
        <f t="shared" si="19"/>
        <v>52779</v>
      </c>
      <c r="C223" s="5">
        <f t="shared" si="20"/>
        <v>381.87889478685264</v>
      </c>
      <c r="D223" s="5">
        <f t="shared" si="21"/>
        <v>3.6711052131473743</v>
      </c>
      <c r="E223" s="5">
        <f t="shared" si="22"/>
        <v>385.55</v>
      </c>
      <c r="F223" s="5">
        <f t="shared" si="23"/>
        <v>1533.4803468552557</v>
      </c>
    </row>
    <row r="224" spans="1:6" x14ac:dyDescent="0.3">
      <c r="A224">
        <f t="shared" si="18"/>
        <v>3</v>
      </c>
      <c r="B224" s="2">
        <f t="shared" si="19"/>
        <v>52810</v>
      </c>
      <c r="C224" s="5">
        <f t="shared" si="20"/>
        <v>382.61082933519413</v>
      </c>
      <c r="D224" s="5">
        <f t="shared" si="21"/>
        <v>2.9391706648059066</v>
      </c>
      <c r="E224" s="5">
        <f t="shared" si="22"/>
        <v>385.55</v>
      </c>
      <c r="F224" s="5">
        <f t="shared" si="23"/>
        <v>1150.8695175200614</v>
      </c>
    </row>
    <row r="225" spans="1:6" x14ac:dyDescent="0.3">
      <c r="A225">
        <f t="shared" si="18"/>
        <v>2</v>
      </c>
      <c r="B225" s="2">
        <f t="shared" si="19"/>
        <v>52841</v>
      </c>
      <c r="C225" s="5">
        <f t="shared" si="20"/>
        <v>383.34416675808654</v>
      </c>
      <c r="D225" s="5">
        <f t="shared" si="21"/>
        <v>2.2058332419134508</v>
      </c>
      <c r="E225" s="5">
        <f t="shared" si="22"/>
        <v>385.55</v>
      </c>
      <c r="F225" s="5">
        <f t="shared" si="23"/>
        <v>767.52535076197489</v>
      </c>
    </row>
    <row r="226" spans="1:6" x14ac:dyDescent="0.3">
      <c r="A226">
        <f t="shared" si="18"/>
        <v>1</v>
      </c>
      <c r="B226" s="2">
        <f t="shared" si="19"/>
        <v>52871</v>
      </c>
      <c r="C226" s="5">
        <f t="shared" si="20"/>
        <v>384.07890974437288</v>
      </c>
      <c r="D226" s="5">
        <f t="shared" si="21"/>
        <v>1.4710902556271186</v>
      </c>
      <c r="E226" s="5">
        <f t="shared" si="22"/>
        <v>385.55</v>
      </c>
      <c r="F226" s="5">
        <f t="shared" si="23"/>
        <v>383.44644101760201</v>
      </c>
    </row>
    <row r="228" spans="1:6" x14ac:dyDescent="0.3">
      <c r="E228" t="s">
        <v>12</v>
      </c>
    </row>
    <row r="229" spans="1:6" x14ac:dyDescent="0.3">
      <c r="E229" s="5">
        <f>SUM(E5:E226)</f>
        <v>115340.94000000061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pasta_total</vt:lpstr>
      <vt:lpstr>sin_amortizar</vt:lpstr>
      <vt:lpstr>amort1_29840</vt:lpstr>
      <vt:lpstr>amort1_1009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Eduardo Olivares López</cp:lastModifiedBy>
  <dcterms:created xsi:type="dcterms:W3CDTF">2015-06-05T18:17:20Z</dcterms:created>
  <dcterms:modified xsi:type="dcterms:W3CDTF">2026-08-02T08:33:29Z</dcterms:modified>
</cp:coreProperties>
</file>