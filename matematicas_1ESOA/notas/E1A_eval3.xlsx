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4744725179635e/Desktop/sapere_aude/matematicas_1ESOA/notas/"/>
    </mc:Choice>
  </mc:AlternateContent>
  <xr:revisionPtr revIDLastSave="2" documentId="14_{58771957-A840-4041-8B91-A2D140E63AAE}" xr6:coauthVersionLast="47" xr6:coauthVersionMax="47" xr10:uidLastSave="{9E272A53-0A77-419D-9C24-E90131FEB078}"/>
  <bookViews>
    <workbookView xWindow="-108" yWindow="-108" windowWidth="23256" windowHeight="12456" tabRatio="500" activeTab="1" xr2:uid="{00000000-000D-0000-FFFF-FFFF00000000}"/>
  </bookViews>
  <sheets>
    <sheet name="Instrucciones" sheetId="1" r:id="rId1"/>
    <sheet name="Actilla" sheetId="2" r:id="rId2"/>
  </sheets>
  <definedNames>
    <definedName name="_xlnm.Print_Area" localSheetId="1">Actilla!$A$1:$Y$28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7" i="2" l="1"/>
  <c r="Q27" i="2"/>
  <c r="Q28" i="2" s="1"/>
  <c r="P27" i="2"/>
  <c r="P28" i="2" s="1"/>
  <c r="O27" i="2"/>
  <c r="O28" i="2" s="1"/>
  <c r="N27" i="2"/>
  <c r="N28" i="2" s="1"/>
  <c r="M27" i="2"/>
  <c r="M28" i="2" s="1"/>
  <c r="L27" i="2"/>
  <c r="L28" i="2" s="1"/>
  <c r="K27" i="2"/>
  <c r="K28" i="2" s="1"/>
  <c r="J27" i="2"/>
  <c r="J28" i="2" s="1"/>
  <c r="I27" i="2"/>
  <c r="I28" i="2" s="1"/>
  <c r="H27" i="2"/>
  <c r="H28" i="2" s="1"/>
  <c r="G27" i="2"/>
  <c r="G28" i="2" s="1"/>
  <c r="F27" i="2"/>
  <c r="F28" i="2" s="1"/>
  <c r="E27" i="2"/>
  <c r="E28" i="2" s="1"/>
  <c r="D27" i="2"/>
  <c r="D28" i="2" s="1"/>
  <c r="C27" i="2"/>
  <c r="C28" i="2" s="1"/>
  <c r="U26" i="2"/>
  <c r="T26" i="2"/>
  <c r="R26" i="2"/>
  <c r="U25" i="2"/>
  <c r="T25" i="2"/>
  <c r="R25" i="2"/>
  <c r="U24" i="2"/>
  <c r="T24" i="2"/>
  <c r="R24" i="2"/>
  <c r="U23" i="2"/>
  <c r="T23" i="2"/>
  <c r="R23" i="2"/>
  <c r="U22" i="2"/>
  <c r="T22" i="2"/>
  <c r="R22" i="2"/>
  <c r="U21" i="2"/>
  <c r="T21" i="2"/>
  <c r="R21" i="2"/>
  <c r="U20" i="2"/>
  <c r="T20" i="2"/>
  <c r="R20" i="2"/>
  <c r="U19" i="2"/>
  <c r="T19" i="2"/>
  <c r="R19" i="2"/>
  <c r="U18" i="2"/>
  <c r="T18" i="2"/>
  <c r="R18" i="2"/>
  <c r="U17" i="2"/>
  <c r="T17" i="2"/>
  <c r="R17" i="2"/>
  <c r="U16" i="2"/>
  <c r="T16" i="2"/>
  <c r="R16" i="2"/>
  <c r="U15" i="2"/>
  <c r="T15" i="2"/>
  <c r="R15" i="2"/>
  <c r="U14" i="2"/>
  <c r="T14" i="2"/>
  <c r="R14" i="2"/>
  <c r="U13" i="2"/>
  <c r="T13" i="2"/>
  <c r="R13" i="2"/>
  <c r="U12" i="2"/>
  <c r="T12" i="2"/>
  <c r="R12" i="2"/>
  <c r="U11" i="2"/>
  <c r="T11" i="2"/>
  <c r="R11" i="2"/>
  <c r="U10" i="2"/>
  <c r="T10" i="2"/>
  <c r="R10" i="2"/>
  <c r="U9" i="2"/>
  <c r="T9" i="2"/>
  <c r="R9" i="2"/>
  <c r="U8" i="2"/>
  <c r="T8" i="2"/>
  <c r="R8" i="2"/>
  <c r="U7" i="2"/>
  <c r="T7" i="2"/>
  <c r="R7" i="2"/>
  <c r="U6" i="2"/>
  <c r="T6" i="2"/>
  <c r="R6" i="2"/>
  <c r="U5" i="2"/>
  <c r="T5" i="2"/>
  <c r="R5" i="2"/>
  <c r="U4" i="2"/>
  <c r="T4" i="2"/>
  <c r="R4" i="2"/>
  <c r="U3" i="2"/>
  <c r="T3" i="2"/>
  <c r="R3" i="2"/>
  <c r="U2" i="2"/>
  <c r="T2" i="2"/>
  <c r="R2" i="2"/>
  <c r="R27" i="2" l="1"/>
  <c r="T27" i="2"/>
  <c r="S26" i="2" s="1"/>
  <c r="X3" i="2"/>
  <c r="X7" i="2"/>
  <c r="S11" i="2" l="1"/>
  <c r="S17" i="2"/>
  <c r="S23" i="2"/>
  <c r="S4" i="2"/>
  <c r="S16" i="2"/>
  <c r="S18" i="2"/>
  <c r="S3" i="2"/>
  <c r="S7" i="2"/>
  <c r="S6" i="2"/>
  <c r="S12" i="2"/>
  <c r="S13" i="2"/>
  <c r="S14" i="2"/>
  <c r="S15" i="2"/>
  <c r="S19" i="2"/>
  <c r="S5" i="2"/>
  <c r="S20" i="2"/>
  <c r="S27" i="2"/>
  <c r="S21" i="2"/>
  <c r="S2" i="2"/>
  <c r="S22" i="2"/>
  <c r="S8" i="2"/>
  <c r="S24" i="2"/>
  <c r="S9" i="2"/>
  <c r="S25" i="2"/>
  <c r="S10" i="2"/>
  <c r="X4" i="2"/>
  <c r="X5" i="2" l="1"/>
  <c r="X6" i="2" l="1"/>
  <c r="Y6" i="2" s="1"/>
  <c r="Y7" i="2" l="1"/>
  <c r="Y3" i="2"/>
  <c r="Y4" i="2"/>
  <c r="Y5" i="2"/>
</calcChain>
</file>

<file path=xl/sharedStrings.xml><?xml version="1.0" encoding="utf-8"?>
<sst xmlns="http://schemas.openxmlformats.org/spreadsheetml/2006/main" count="225" uniqueCount="75">
  <si>
    <t>HOJA DE CÁLCULO PARA GENERAR UN ACTILLA DE EVALUACIÓN</t>
  </si>
  <si>
    <t>1.- Exportar desde raíces las calificaciones de un grupo o curso para el que quieras generar la actilla</t>
  </si>
  <si>
    <t>Exporta todas las columnas en formato Excel</t>
  </si>
  <si>
    <t>La hoja de cálculo puede presentar algunos errores si exportas la columna de promoción.</t>
  </si>
  <si>
    <t>2.- En la hoja de cálculo de la exportación, selecciona desde la celda A5 (Alumno/a) hasta la última celda de la esquina inferior derecha de la tabla.</t>
  </si>
  <si>
    <t>Después, copia los datos seleccionados.</t>
  </si>
  <si>
    <r>
      <rPr>
        <sz val="10"/>
        <color rgb="FF000000"/>
        <rFont val="Arial"/>
        <family val="2"/>
        <charset val="1"/>
      </rPr>
      <t xml:space="preserve">3.- En la hoja </t>
    </r>
    <r>
      <rPr>
        <i/>
        <sz val="10"/>
        <color rgb="FF000000"/>
        <rFont val="Arial"/>
        <family val="2"/>
        <charset val="1"/>
      </rPr>
      <t>Actilla</t>
    </r>
    <r>
      <rPr>
        <sz val="10"/>
        <color rgb="FF000000"/>
        <rFont val="Arial"/>
        <family val="2"/>
        <charset val="1"/>
      </rPr>
      <t xml:space="preserve">, pon el cursor en la celda B1, haz click con el botón derecho y escoge </t>
    </r>
    <r>
      <rPr>
        <i/>
        <sz val="10"/>
        <color rgb="FF000000"/>
        <rFont val="Arial"/>
        <family val="2"/>
        <charset val="1"/>
      </rPr>
      <t>Pegar valores</t>
    </r>
    <r>
      <rPr>
        <sz val="10"/>
        <color rgb="FF000000"/>
        <rFont val="Arial"/>
        <family val="2"/>
        <charset val="1"/>
      </rPr>
      <t>.</t>
    </r>
  </si>
  <si>
    <t>4.- Elimina las columnas para materias y las filas para alumnado que no tengan materias o alumnado.</t>
  </si>
  <si>
    <t>5.- Selecciona desde la celda C1 (o en la primera celda con calificaciones) hasta la celda de la última fila y última columna con calificaciones y haz click sobre el botón flotante con un icono amarillo que aparece.</t>
  </si>
  <si>
    <r>
      <rPr>
        <sz val="10"/>
        <color rgb="FF000000"/>
        <rFont val="Arial"/>
        <family val="2"/>
        <charset val="1"/>
      </rPr>
      <t xml:space="preserve">6.- En el menú, escoge la opción </t>
    </r>
    <r>
      <rPr>
        <i/>
        <sz val="10"/>
        <color rgb="FF000000"/>
        <rFont val="Arial"/>
        <family val="2"/>
        <charset val="1"/>
      </rPr>
      <t>Convertir en número</t>
    </r>
    <r>
      <rPr>
        <sz val="10"/>
        <color rgb="FF000000"/>
        <rFont val="Arial"/>
        <family val="2"/>
        <charset val="1"/>
      </rPr>
      <t xml:space="preserve"> para que todas las calificaciones se computen como números.</t>
    </r>
  </si>
  <si>
    <t>7.- Para cada alumno/a, la actilla muestra cuántas suspensas tiene, considerando NP y NE, y su media, considerando 10-M como Mención honorífica</t>
  </si>
  <si>
    <t>Para cada materia, se calcula el número de suspensos y el porcentaje sobre alumnado con calificación. Solo se considera suspenso la calificación es menor que 5 (no NE ni NP).</t>
  </si>
  <si>
    <t>En la esquina superior derecha de la actilla, se muestra un resumen del número de suspensos por alumno/a.</t>
  </si>
  <si>
    <t>La estrecha columna entre el número de suspensos y la media de cada alumno/a se marca en negro si el alumno/a tiene menos calificaciones que la moda de calificaciones del grupo. De esta forma, se puede identificar si a algún alumno/a le falta alguna calificación.</t>
  </si>
  <si>
    <t>Hecho con amor y poesía desde el IES Las Musas</t>
  </si>
  <si>
    <t>8.- Modifica el nombre del grupo y el nombre de la evaluación, ¡el actilla está lista para imprimir o para enviarla en PDF!</t>
  </si>
  <si>
    <t>por Víctor Barbero - Dudas, mejoras y sugerencias a</t>
  </si>
  <si>
    <t xml:space="preserve"> victor.barbero@educa.madrid.org</t>
  </si>
  <si>
    <t>v4</t>
  </si>
  <si>
    <t>Susp</t>
  </si>
  <si>
    <t>Med</t>
  </si>
  <si>
    <t>Núm. susp.</t>
  </si>
  <si>
    <t>Alm.</t>
  </si>
  <si>
    <t>%</t>
  </si>
  <si>
    <t>1-2</t>
  </si>
  <si>
    <t>3-4</t>
  </si>
  <si>
    <t>5-6</t>
  </si>
  <si>
    <t>&gt;6</t>
  </si>
  <si>
    <t>Número de suspensos:</t>
  </si>
  <si>
    <t>% de suspensos</t>
  </si>
  <si>
    <t>2025/2026</t>
  </si>
  <si>
    <t>E1A</t>
  </si>
  <si>
    <t>Alumno/a</t>
  </si>
  <si>
    <t>BG</t>
  </si>
  <si>
    <t>GH</t>
  </si>
  <si>
    <t>LC</t>
  </si>
  <si>
    <t>LEX (IN)</t>
  </si>
  <si>
    <t>MA</t>
  </si>
  <si>
    <t>EFE</t>
  </si>
  <si>
    <t>RE (CA)</t>
  </si>
  <si>
    <t>EPVA</t>
  </si>
  <si>
    <t>LEX (IA)</t>
  </si>
  <si>
    <t>MUS</t>
  </si>
  <si>
    <t>AE</t>
  </si>
  <si>
    <t>2LE (FR)</t>
  </si>
  <si>
    <t>CCOM</t>
  </si>
  <si>
    <t>RFLCL</t>
  </si>
  <si>
    <t>RMA</t>
  </si>
  <si>
    <t>Aharrar Afkir, Fátima</t>
  </si>
  <si>
    <t/>
  </si>
  <si>
    <t>Álvarez Castillo, Paola</t>
  </si>
  <si>
    <t>Álvarez Lozano, Julia</t>
  </si>
  <si>
    <t>Ardón Pineda, Daniela Judith</t>
  </si>
  <si>
    <t>Britez Villarreo, Denise Elena</t>
  </si>
  <si>
    <t>Campos Labayru, Laia</t>
  </si>
  <si>
    <t>Chen , Kerun</t>
  </si>
  <si>
    <t>Córdoba Fariñas, Antonio Alessandro</t>
  </si>
  <si>
    <t>Cruz Rabazo, Sofía</t>
  </si>
  <si>
    <t>Durán Torrecilla, Javier</t>
  </si>
  <si>
    <t>Durán Torrecilla, Oliver</t>
  </si>
  <si>
    <t>Durán Valderrama, Daniel Estevan</t>
  </si>
  <si>
    <t>Ennassri , Salma</t>
  </si>
  <si>
    <t>Escribano Sarmiento, Antonio</t>
  </si>
  <si>
    <t>Fernández San Martín, Mikel</t>
  </si>
  <si>
    <t>García Peláez, Marta</t>
  </si>
  <si>
    <t>Guzmán Mejía, Kristen Ariana</t>
  </si>
  <si>
    <t>Hernández Sánches, Adriana</t>
  </si>
  <si>
    <t>Lanni Paradas, Marcello</t>
  </si>
  <si>
    <t>Martínez Agudelo, Juanita</t>
  </si>
  <si>
    <t>Pascual Rodríguez, Olivia</t>
  </si>
  <si>
    <t>Sanz Jara, Luna</t>
  </si>
  <si>
    <t>Sesin , Alí</t>
  </si>
  <si>
    <t>Silva Martínez, Valentina</t>
  </si>
  <si>
    <t>Vaquero Arteaga, Sergio</t>
  </si>
  <si>
    <t>TERCERA
EVALUACIÓN
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</si>
</sst>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 %"/>
  </numFmts>
  <fonts count="11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2"/>
      <color rgb="FF2E75B6"/>
      <name val="Arial"/>
      <family val="2"/>
      <charset val="1"/>
    </font>
    <font>
      <i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48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</font>
    <font>
      <sz val="12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165" fontId="8" fillId="0" borderId="0" applyBorder="0" applyProtection="0"/>
    <xf numFmtId="0" fontId="1" fillId="0" borderId="0"/>
    <xf numFmtId="0" fontId="9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2"/>
    <xf numFmtId="0" fontId="2" fillId="0" borderId="0" xfId="2" applyFont="1"/>
    <xf numFmtId="0" fontId="1" fillId="0" borderId="0" xfId="2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2" borderId="8" xfId="0" applyFill="1" applyBorder="1" applyAlignment="1">
      <alignment horizontal="center"/>
    </xf>
    <xf numFmtId="1" fontId="5" fillId="2" borderId="6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0" borderId="8" xfId="0" applyBorder="1"/>
    <xf numFmtId="165" fontId="4" fillId="0" borderId="9" xfId="1" applyFont="1" applyBorder="1" applyAlignment="1" applyProtection="1">
      <alignment vertical="center"/>
    </xf>
    <xf numFmtId="0" fontId="0" fillId="0" borderId="8" xfId="0" applyBorder="1" applyAlignment="1">
      <alignment horizontal="center"/>
    </xf>
    <xf numFmtId="49" fontId="0" fillId="0" borderId="8" xfId="0" applyNumberFormat="1" applyBorder="1" applyAlignment="1">
      <alignment horizontal="right"/>
    </xf>
    <xf numFmtId="49" fontId="0" fillId="0" borderId="0" xfId="0" applyNumberFormat="1"/>
    <xf numFmtId="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10" xfId="0" applyFont="1" applyBorder="1" applyAlignment="1">
      <alignment horizontal="center"/>
    </xf>
    <xf numFmtId="165" fontId="4" fillId="0" borderId="8" xfId="1" applyFont="1" applyBorder="1" applyAlignment="1" applyProtection="1">
      <alignment horizontal="center" vertical="center"/>
    </xf>
    <xf numFmtId="0" fontId="5" fillId="0" borderId="0" xfId="0" applyFont="1" applyAlignment="1">
      <alignment horizontal="center"/>
    </xf>
    <xf numFmtId="0" fontId="10" fillId="0" borderId="11" xfId="3" applyFont="1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2" applyAlignment="1">
      <alignment horizontal="left" wrapText="1"/>
    </xf>
  </cellXfs>
  <cellStyles count="4">
    <cellStyle name="Explanatory Text" xfId="2" builtinId="53" customBuiltin="1"/>
    <cellStyle name="Normal" xfId="0" builtinId="0"/>
    <cellStyle name="Normal 2" xfId="3" xr:uid="{9895B3A8-33B1-4097-9401-CCBAD4B00410}"/>
    <cellStyle name="Percent" xfId="1" builtinId="5"/>
  </cellStyles>
  <dxfs count="6">
    <dxf>
      <fill>
        <patternFill>
          <bgColor rgb="FF000000"/>
        </patternFill>
      </fill>
    </dxf>
    <dxf>
      <fill>
        <patternFill>
          <bgColor rgb="FF808080"/>
        </patternFill>
      </fill>
    </dxf>
    <dxf>
      <fill>
        <patternFill>
          <bgColor theme="5" tint="0.39994506668294322"/>
        </patternFill>
      </fill>
    </dxf>
    <dxf>
      <fill>
        <patternFill>
          <bgColor rgb="FF000000"/>
        </patternFill>
      </fill>
    </dxf>
    <dxf>
      <fill>
        <patternFill>
          <bgColor rgb="FF80808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314280</xdr:colOff>
      <xdr:row>1</xdr:row>
      <xdr:rowOff>91440</xdr:rowOff>
    </xdr:from>
    <xdr:to>
      <xdr:col>12</xdr:col>
      <xdr:colOff>227520</xdr:colOff>
      <xdr:row>8</xdr:row>
      <xdr:rowOff>56160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64920" y="281880"/>
          <a:ext cx="2805840" cy="1441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295200</xdr:colOff>
      <xdr:row>10</xdr:row>
      <xdr:rowOff>0</xdr:rowOff>
    </xdr:from>
    <xdr:to>
      <xdr:col>9</xdr:col>
      <xdr:colOff>1122840</xdr:colOff>
      <xdr:row>14</xdr:row>
      <xdr:rowOff>94320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945840" y="2047680"/>
          <a:ext cx="827640" cy="856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447840</xdr:colOff>
      <xdr:row>10</xdr:row>
      <xdr:rowOff>0</xdr:rowOff>
    </xdr:from>
    <xdr:to>
      <xdr:col>14</xdr:col>
      <xdr:colOff>47160</xdr:colOff>
      <xdr:row>16</xdr:row>
      <xdr:rowOff>18000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375760" y="2047680"/>
          <a:ext cx="2829960" cy="1313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219240</xdr:colOff>
      <xdr:row>21</xdr:row>
      <xdr:rowOff>0</xdr:rowOff>
    </xdr:from>
    <xdr:to>
      <xdr:col>13</xdr:col>
      <xdr:colOff>805320</xdr:colOff>
      <xdr:row>21</xdr:row>
      <xdr:rowOff>471240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762480" y="4295520"/>
          <a:ext cx="1393920" cy="4712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K26"/>
  <sheetViews>
    <sheetView zoomScaleNormal="100" workbookViewId="0">
      <selection activeCell="N27" sqref="N27"/>
    </sheetView>
  </sheetViews>
  <sheetFormatPr defaultColWidth="8.88671875" defaultRowHeight="14.4" x14ac:dyDescent="0.3"/>
  <cols>
    <col min="1" max="1" width="2.6640625" style="2" customWidth="1"/>
    <col min="2" max="9" width="11.33203125" style="2" customWidth="1"/>
    <col min="10" max="10" width="17.88671875" style="2" customWidth="1"/>
    <col min="11" max="1025" width="11.33203125" style="2" customWidth="1"/>
  </cols>
  <sheetData>
    <row r="2" spans="2:9" ht="15.6" x14ac:dyDescent="0.3">
      <c r="B2" s="3" t="s">
        <v>0</v>
      </c>
    </row>
    <row r="4" spans="2:9" x14ac:dyDescent="0.3">
      <c r="B4" s="2" t="s">
        <v>1</v>
      </c>
    </row>
    <row r="5" spans="2:9" x14ac:dyDescent="0.3">
      <c r="C5" s="2" t="s">
        <v>2</v>
      </c>
    </row>
    <row r="6" spans="2:9" x14ac:dyDescent="0.3">
      <c r="C6" s="2" t="s">
        <v>3</v>
      </c>
    </row>
    <row r="8" spans="2:9" ht="25.5" customHeight="1" x14ac:dyDescent="0.3">
      <c r="B8" s="35" t="s">
        <v>4</v>
      </c>
      <c r="C8" s="35"/>
      <c r="D8" s="35"/>
      <c r="E8" s="35"/>
      <c r="F8" s="35"/>
      <c r="G8" s="35"/>
      <c r="H8" s="35"/>
      <c r="I8" s="35"/>
    </row>
    <row r="9" spans="2:9" x14ac:dyDescent="0.3">
      <c r="C9" s="2" t="s">
        <v>5</v>
      </c>
    </row>
    <row r="11" spans="2:9" x14ac:dyDescent="0.3">
      <c r="B11" s="2" t="s">
        <v>6</v>
      </c>
    </row>
    <row r="13" spans="2:9" x14ac:dyDescent="0.3">
      <c r="B13" s="2" t="s">
        <v>7</v>
      </c>
    </row>
    <row r="15" spans="2:9" ht="27" customHeight="1" x14ac:dyDescent="0.3">
      <c r="B15" s="35" t="s">
        <v>8</v>
      </c>
      <c r="C15" s="35"/>
      <c r="D15" s="35"/>
      <c r="E15" s="35"/>
      <c r="F15" s="35"/>
      <c r="G15" s="35"/>
      <c r="H15" s="35"/>
      <c r="I15" s="35"/>
    </row>
    <row r="17" spans="2:14" x14ac:dyDescent="0.3">
      <c r="B17" s="2" t="s">
        <v>9</v>
      </c>
    </row>
    <row r="19" spans="2:14" x14ac:dyDescent="0.3">
      <c r="B19" s="2" t="s">
        <v>10</v>
      </c>
    </row>
    <row r="20" spans="2:14" x14ac:dyDescent="0.3">
      <c r="B20" s="2" t="s">
        <v>11</v>
      </c>
    </row>
    <row r="21" spans="2:14" x14ac:dyDescent="0.3">
      <c r="B21" s="2" t="s">
        <v>12</v>
      </c>
    </row>
    <row r="22" spans="2:14" ht="38.25" customHeight="1" x14ac:dyDescent="0.3">
      <c r="B22" s="35" t="s">
        <v>13</v>
      </c>
      <c r="C22" s="35"/>
      <c r="D22" s="35"/>
      <c r="E22" s="35"/>
      <c r="F22" s="35"/>
      <c r="G22" s="35"/>
      <c r="H22" s="35"/>
      <c r="I22" s="35"/>
    </row>
    <row r="23" spans="2:14" x14ac:dyDescent="0.3">
      <c r="N23" s="4" t="s">
        <v>14</v>
      </c>
    </row>
    <row r="24" spans="2:14" x14ac:dyDescent="0.3">
      <c r="B24" s="2" t="s">
        <v>15</v>
      </c>
      <c r="N24" s="4" t="s">
        <v>16</v>
      </c>
    </row>
    <row r="25" spans="2:14" x14ac:dyDescent="0.3">
      <c r="N25" s="4" t="s">
        <v>17</v>
      </c>
    </row>
    <row r="26" spans="2:14" x14ac:dyDescent="0.3">
      <c r="N26" s="4" t="s">
        <v>18</v>
      </c>
    </row>
  </sheetData>
  <mergeCells count="3">
    <mergeCell ref="B8:I8"/>
    <mergeCell ref="B15:I15"/>
    <mergeCell ref="B22:I22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8"/>
  <sheetViews>
    <sheetView tabSelected="1" topLeftCell="A3" zoomScaleNormal="100" workbookViewId="0">
      <selection activeCell="AA17" sqref="AA17"/>
    </sheetView>
  </sheetViews>
  <sheetFormatPr defaultColWidth="8.88671875" defaultRowHeight="14.4" x14ac:dyDescent="0.3"/>
  <cols>
    <col min="1" max="1" width="2.88671875" style="1" customWidth="1"/>
    <col min="2" max="2" width="26.44140625" customWidth="1"/>
    <col min="3" max="17" width="4.77734375" customWidth="1"/>
    <col min="18" max="18" width="4.109375" customWidth="1"/>
    <col min="19" max="19" width="1.109375" customWidth="1"/>
    <col min="20" max="20" width="4.109375" hidden="1" customWidth="1"/>
    <col min="21" max="21" width="5.33203125" customWidth="1"/>
    <col min="22" max="22" width="2" customWidth="1"/>
    <col min="23" max="24" width="4.109375" customWidth="1"/>
    <col min="25" max="25" width="5.6640625" customWidth="1"/>
    <col min="26" max="1013" width="10.21875" customWidth="1"/>
  </cols>
  <sheetData>
    <row r="1" spans="1:25" ht="15" thickBot="1" x14ac:dyDescent="0.35">
      <c r="A1" s="5"/>
      <c r="B1" s="6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8" t="s">
        <v>19</v>
      </c>
      <c r="S1" s="9"/>
      <c r="T1" s="9"/>
      <c r="U1" s="10" t="s">
        <v>20</v>
      </c>
      <c r="W1" s="11" t="s">
        <v>21</v>
      </c>
      <c r="X1" s="11"/>
      <c r="Y1" s="11"/>
    </row>
    <row r="2" spans="1:25" ht="15.6" x14ac:dyDescent="0.3">
      <c r="A2" s="12">
        <v>1</v>
      </c>
      <c r="B2" s="31" t="s">
        <v>48</v>
      </c>
      <c r="C2" s="31">
        <v>5</v>
      </c>
      <c r="D2" s="31">
        <v>5</v>
      </c>
      <c r="E2" s="31">
        <v>6</v>
      </c>
      <c r="F2" s="31" t="s">
        <v>49</v>
      </c>
      <c r="G2" s="31">
        <v>4</v>
      </c>
      <c r="H2" s="31">
        <v>8</v>
      </c>
      <c r="I2" s="31" t="s">
        <v>49</v>
      </c>
      <c r="J2" s="31">
        <v>5</v>
      </c>
      <c r="K2" s="31" t="s">
        <v>49</v>
      </c>
      <c r="L2" s="31">
        <v>4</v>
      </c>
      <c r="M2" s="31" t="s">
        <v>49</v>
      </c>
      <c r="N2" s="31">
        <v>6</v>
      </c>
      <c r="O2" s="31" t="s">
        <v>49</v>
      </c>
      <c r="P2" s="31" t="s">
        <v>49</v>
      </c>
      <c r="Q2" s="31" t="s">
        <v>49</v>
      </c>
      <c r="R2" s="13">
        <f t="shared" ref="R2:R26" si="0">COUNTIF(C2:Q2,"&lt;5")+COUNTIF(C2:Q2,"NP")+COUNTIF(C2:Q2,"NE")</f>
        <v>2</v>
      </c>
      <c r="S2" s="14" t="str">
        <f t="shared" ref="S2:S26" si="1">IF(T2&gt;$T$27,"X","")</f>
        <v>X</v>
      </c>
      <c r="T2" s="14">
        <f t="shared" ref="T2:T26" si="2">COUNTBLANK(C2:Q2)</f>
        <v>7</v>
      </c>
      <c r="U2" s="15">
        <f t="shared" ref="U2:U26" si="3">(SUM(C2:Q2)+(COUNTIF(C2:Q2,"10-M")*10))/(COUNTIF(C2:Q2,"10-M")+COUNT(C2:Q2)+COUNTIF(C2:Q2,"NP")+COUNTIF(C2:Q2,"NE"))</f>
        <v>5.375</v>
      </c>
      <c r="X2" s="16" t="s">
        <v>22</v>
      </c>
      <c r="Y2" t="s">
        <v>23</v>
      </c>
    </row>
    <row r="3" spans="1:25" ht="15.6" x14ac:dyDescent="0.3">
      <c r="A3" s="17">
        <v>2</v>
      </c>
      <c r="B3" s="31" t="s">
        <v>50</v>
      </c>
      <c r="C3" s="31">
        <v>6</v>
      </c>
      <c r="D3" s="31">
        <v>6</v>
      </c>
      <c r="E3" s="31">
        <v>8</v>
      </c>
      <c r="F3" s="31">
        <v>5</v>
      </c>
      <c r="G3" s="31">
        <v>6</v>
      </c>
      <c r="H3" s="31">
        <v>9</v>
      </c>
      <c r="I3" s="31" t="s">
        <v>49</v>
      </c>
      <c r="J3" s="31">
        <v>7</v>
      </c>
      <c r="K3" s="31" t="s">
        <v>49</v>
      </c>
      <c r="L3" s="31">
        <v>9</v>
      </c>
      <c r="M3" s="31" t="s">
        <v>49</v>
      </c>
      <c r="N3" s="31" t="s">
        <v>49</v>
      </c>
      <c r="O3" s="31">
        <v>7</v>
      </c>
      <c r="P3" s="31" t="s">
        <v>49</v>
      </c>
      <c r="Q3" s="31" t="s">
        <v>49</v>
      </c>
      <c r="R3" s="18">
        <f t="shared" si="0"/>
        <v>0</v>
      </c>
      <c r="S3" s="14" t="str">
        <f t="shared" si="1"/>
        <v/>
      </c>
      <c r="T3" s="19">
        <f t="shared" si="2"/>
        <v>6</v>
      </c>
      <c r="U3" s="20">
        <f t="shared" si="3"/>
        <v>7</v>
      </c>
      <c r="W3" s="21">
        <v>0</v>
      </c>
      <c r="X3" s="21">
        <f>COUNTIF(R2:R26,0)</f>
        <v>12</v>
      </c>
      <c r="Y3" s="22">
        <f>X3/SUM($X$3:$X$7)</f>
        <v>0.48</v>
      </c>
    </row>
    <row r="4" spans="1:25" ht="15.6" x14ac:dyDescent="0.3">
      <c r="A4" s="23">
        <v>3</v>
      </c>
      <c r="B4" s="31" t="s">
        <v>51</v>
      </c>
      <c r="C4" s="31">
        <v>6</v>
      </c>
      <c r="D4" s="31">
        <v>5</v>
      </c>
      <c r="E4" s="31">
        <v>6</v>
      </c>
      <c r="F4" s="31">
        <v>8</v>
      </c>
      <c r="G4" s="31">
        <v>4</v>
      </c>
      <c r="H4" s="31">
        <v>7</v>
      </c>
      <c r="I4" s="31" t="s">
        <v>49</v>
      </c>
      <c r="J4" s="31">
        <v>5</v>
      </c>
      <c r="K4" s="31" t="s">
        <v>49</v>
      </c>
      <c r="L4" s="31">
        <v>6</v>
      </c>
      <c r="M4" s="31" t="s">
        <v>49</v>
      </c>
      <c r="N4" s="31" t="s">
        <v>49</v>
      </c>
      <c r="O4" s="31">
        <v>7</v>
      </c>
      <c r="P4" s="31" t="s">
        <v>49</v>
      </c>
      <c r="Q4" s="31" t="s">
        <v>49</v>
      </c>
      <c r="R4" s="13">
        <f t="shared" si="0"/>
        <v>1</v>
      </c>
      <c r="S4" s="14" t="str">
        <f t="shared" si="1"/>
        <v/>
      </c>
      <c r="T4" s="14">
        <f t="shared" si="2"/>
        <v>6</v>
      </c>
      <c r="U4" s="15">
        <f t="shared" si="3"/>
        <v>6</v>
      </c>
      <c r="W4" s="24" t="s">
        <v>24</v>
      </c>
      <c r="X4" s="21">
        <f>COUNTIF(R2:R26,"&lt;3")-X3</f>
        <v>7</v>
      </c>
      <c r="Y4" s="22">
        <f>X4/SUM($X$3:$X$7)</f>
        <v>0.28000000000000003</v>
      </c>
    </row>
    <row r="5" spans="1:25" ht="15.6" x14ac:dyDescent="0.3">
      <c r="A5" s="17">
        <v>4</v>
      </c>
      <c r="B5" s="31" t="s">
        <v>52</v>
      </c>
      <c r="C5" s="31">
        <v>3</v>
      </c>
      <c r="D5" s="31">
        <v>3</v>
      </c>
      <c r="E5" s="31">
        <v>3</v>
      </c>
      <c r="F5" s="31">
        <v>3</v>
      </c>
      <c r="G5" s="31">
        <v>1</v>
      </c>
      <c r="H5" s="31">
        <v>6</v>
      </c>
      <c r="I5" s="31" t="s">
        <v>49</v>
      </c>
      <c r="J5" s="31">
        <v>3</v>
      </c>
      <c r="K5" s="31" t="s">
        <v>49</v>
      </c>
      <c r="L5" s="31">
        <v>5</v>
      </c>
      <c r="M5" s="31" t="s">
        <v>49</v>
      </c>
      <c r="N5" s="31" t="s">
        <v>49</v>
      </c>
      <c r="O5" s="31" t="s">
        <v>49</v>
      </c>
      <c r="P5" s="31" t="s">
        <v>49</v>
      </c>
      <c r="Q5" s="31">
        <v>3</v>
      </c>
      <c r="R5" s="18">
        <f t="shared" si="0"/>
        <v>7</v>
      </c>
      <c r="S5" s="14" t="str">
        <f t="shared" si="1"/>
        <v/>
      </c>
      <c r="T5" s="19">
        <f t="shared" si="2"/>
        <v>6</v>
      </c>
      <c r="U5" s="20">
        <f t="shared" si="3"/>
        <v>3.3333333333333335</v>
      </c>
      <c r="W5" s="24" t="s">
        <v>25</v>
      </c>
      <c r="X5" s="21">
        <f>COUNTIF(R2:R26,"&lt;5")-X3-X4</f>
        <v>2</v>
      </c>
      <c r="Y5" s="22">
        <f>X5/SUM($X$3:$X$7)</f>
        <v>0.08</v>
      </c>
    </row>
    <row r="6" spans="1:25" ht="15.6" x14ac:dyDescent="0.3">
      <c r="A6" s="23">
        <v>5</v>
      </c>
      <c r="B6" s="31" t="s">
        <v>53</v>
      </c>
      <c r="C6" s="31">
        <v>3</v>
      </c>
      <c r="D6" s="31">
        <v>2</v>
      </c>
      <c r="E6" s="31">
        <v>3</v>
      </c>
      <c r="F6" s="31">
        <v>5</v>
      </c>
      <c r="G6" s="31">
        <v>2</v>
      </c>
      <c r="H6" s="31">
        <v>6</v>
      </c>
      <c r="I6" s="31" t="s">
        <v>49</v>
      </c>
      <c r="J6" s="31">
        <v>6</v>
      </c>
      <c r="K6" s="31" t="s">
        <v>49</v>
      </c>
      <c r="L6" s="31">
        <v>5</v>
      </c>
      <c r="M6" s="31" t="s">
        <v>49</v>
      </c>
      <c r="N6" s="31" t="s">
        <v>49</v>
      </c>
      <c r="O6" s="31" t="s">
        <v>49</v>
      </c>
      <c r="P6" s="31" t="s">
        <v>49</v>
      </c>
      <c r="Q6" s="31">
        <v>3</v>
      </c>
      <c r="R6" s="13">
        <f t="shared" si="0"/>
        <v>5</v>
      </c>
      <c r="S6" s="14" t="str">
        <f t="shared" si="1"/>
        <v/>
      </c>
      <c r="T6" s="14">
        <f t="shared" si="2"/>
        <v>6</v>
      </c>
      <c r="U6" s="15">
        <f t="shared" si="3"/>
        <v>3.8888888888888888</v>
      </c>
      <c r="W6" s="24" t="s">
        <v>26</v>
      </c>
      <c r="X6" s="21">
        <f>COUNTIF(R2:R26,"&lt;7")-X3-X4-X5</f>
        <v>2</v>
      </c>
      <c r="Y6" s="22">
        <f>X6/SUM($X$3:$X$7)</f>
        <v>0.08</v>
      </c>
    </row>
    <row r="7" spans="1:25" ht="15.6" x14ac:dyDescent="0.3">
      <c r="A7" s="17">
        <v>6</v>
      </c>
      <c r="B7" s="31" t="s">
        <v>54</v>
      </c>
      <c r="C7" s="31">
        <v>8</v>
      </c>
      <c r="D7" s="31">
        <v>8</v>
      </c>
      <c r="E7" s="31">
        <v>8</v>
      </c>
      <c r="F7" s="31">
        <v>9</v>
      </c>
      <c r="G7" s="31">
        <v>8</v>
      </c>
      <c r="H7" s="31">
        <v>9</v>
      </c>
      <c r="I7" s="31" t="s">
        <v>49</v>
      </c>
      <c r="J7" s="31">
        <v>9</v>
      </c>
      <c r="K7" s="31" t="s">
        <v>49</v>
      </c>
      <c r="L7" s="31">
        <v>10</v>
      </c>
      <c r="M7" s="31" t="s">
        <v>49</v>
      </c>
      <c r="N7" s="31">
        <v>8</v>
      </c>
      <c r="O7" s="31" t="s">
        <v>49</v>
      </c>
      <c r="P7" s="31" t="s">
        <v>49</v>
      </c>
      <c r="Q7" s="31" t="s">
        <v>49</v>
      </c>
      <c r="R7" s="18">
        <f t="shared" si="0"/>
        <v>0</v>
      </c>
      <c r="S7" s="14" t="str">
        <f t="shared" si="1"/>
        <v/>
      </c>
      <c r="T7" s="19">
        <f t="shared" si="2"/>
        <v>6</v>
      </c>
      <c r="U7" s="20">
        <f t="shared" si="3"/>
        <v>8.5555555555555554</v>
      </c>
      <c r="W7" s="24" t="s">
        <v>27</v>
      </c>
      <c r="X7" s="21">
        <f>COUNTIF(R2:R26,"&gt;6")</f>
        <v>2</v>
      </c>
      <c r="Y7" s="22">
        <f>X7/SUM($X$3:$X$7)</f>
        <v>0.08</v>
      </c>
    </row>
    <row r="8" spans="1:25" ht="15.6" x14ac:dyDescent="0.3">
      <c r="A8" s="23">
        <v>7</v>
      </c>
      <c r="B8" s="31" t="s">
        <v>55</v>
      </c>
      <c r="C8" s="31">
        <v>4</v>
      </c>
      <c r="D8" s="31">
        <v>5</v>
      </c>
      <c r="E8" s="31">
        <v>6</v>
      </c>
      <c r="F8" s="31">
        <v>7</v>
      </c>
      <c r="G8" s="31">
        <v>7</v>
      </c>
      <c r="H8" s="31">
        <v>7</v>
      </c>
      <c r="I8" s="31" t="s">
        <v>49</v>
      </c>
      <c r="J8" s="31">
        <v>4</v>
      </c>
      <c r="K8" s="31" t="s">
        <v>49</v>
      </c>
      <c r="L8" s="31">
        <v>6</v>
      </c>
      <c r="M8" s="31">
        <v>6</v>
      </c>
      <c r="N8" s="31" t="s">
        <v>49</v>
      </c>
      <c r="O8" s="31" t="s">
        <v>49</v>
      </c>
      <c r="P8" s="31" t="s">
        <v>49</v>
      </c>
      <c r="Q8" s="31">
        <v>8</v>
      </c>
      <c r="R8" s="13">
        <f t="shared" si="0"/>
        <v>2</v>
      </c>
      <c r="S8" s="14" t="str">
        <f t="shared" si="1"/>
        <v/>
      </c>
      <c r="T8" s="14">
        <f t="shared" si="2"/>
        <v>5</v>
      </c>
      <c r="U8" s="15">
        <f t="shared" si="3"/>
        <v>6</v>
      </c>
      <c r="W8" s="25"/>
    </row>
    <row r="9" spans="1:25" ht="15.6" x14ac:dyDescent="0.3">
      <c r="A9" s="17">
        <v>8</v>
      </c>
      <c r="B9" s="31" t="s">
        <v>56</v>
      </c>
      <c r="C9" s="31">
        <v>5</v>
      </c>
      <c r="D9" s="31">
        <v>4</v>
      </c>
      <c r="E9" s="31">
        <v>5</v>
      </c>
      <c r="F9" s="31">
        <v>6</v>
      </c>
      <c r="G9" s="31">
        <v>3</v>
      </c>
      <c r="H9" s="31">
        <v>8</v>
      </c>
      <c r="I9" s="31">
        <v>7</v>
      </c>
      <c r="J9" s="31">
        <v>5</v>
      </c>
      <c r="K9" s="31" t="s">
        <v>49</v>
      </c>
      <c r="L9" s="31">
        <v>6</v>
      </c>
      <c r="M9" s="31" t="s">
        <v>49</v>
      </c>
      <c r="N9" s="31" t="s">
        <v>49</v>
      </c>
      <c r="O9" s="31" t="s">
        <v>49</v>
      </c>
      <c r="P9" s="31" t="s">
        <v>49</v>
      </c>
      <c r="Q9" s="31">
        <v>4</v>
      </c>
      <c r="R9" s="18">
        <f t="shared" si="0"/>
        <v>3</v>
      </c>
      <c r="S9" s="14" t="str">
        <f t="shared" si="1"/>
        <v/>
      </c>
      <c r="T9" s="19">
        <f t="shared" si="2"/>
        <v>5</v>
      </c>
      <c r="U9" s="20">
        <f t="shared" si="3"/>
        <v>5.3</v>
      </c>
      <c r="W9" s="32" t="s">
        <v>31</v>
      </c>
      <c r="X9" s="32"/>
      <c r="Y9" s="32"/>
    </row>
    <row r="10" spans="1:25" ht="15.75" customHeight="1" x14ac:dyDescent="0.3">
      <c r="A10" s="23">
        <v>9</v>
      </c>
      <c r="B10" s="31" t="s">
        <v>57</v>
      </c>
      <c r="C10" s="31">
        <v>7</v>
      </c>
      <c r="D10" s="31">
        <v>8</v>
      </c>
      <c r="E10" s="31">
        <v>8</v>
      </c>
      <c r="F10" s="31">
        <v>9</v>
      </c>
      <c r="G10" s="31">
        <v>6</v>
      </c>
      <c r="H10" s="31">
        <v>10</v>
      </c>
      <c r="I10" s="31" t="s">
        <v>49</v>
      </c>
      <c r="J10" s="31">
        <v>8</v>
      </c>
      <c r="K10" s="31" t="s">
        <v>49</v>
      </c>
      <c r="L10" s="31">
        <v>9</v>
      </c>
      <c r="M10" s="31" t="s">
        <v>49</v>
      </c>
      <c r="N10" s="31" t="s">
        <v>49</v>
      </c>
      <c r="O10" s="31">
        <v>10</v>
      </c>
      <c r="P10" s="31" t="s">
        <v>49</v>
      </c>
      <c r="Q10" s="31" t="s">
        <v>49</v>
      </c>
      <c r="R10" s="13">
        <f t="shared" si="0"/>
        <v>0</v>
      </c>
      <c r="S10" s="14" t="str">
        <f t="shared" si="1"/>
        <v/>
      </c>
      <c r="T10" s="14">
        <f t="shared" si="2"/>
        <v>6</v>
      </c>
      <c r="U10" s="15">
        <f t="shared" si="3"/>
        <v>8.3333333333333339</v>
      </c>
      <c r="W10" s="32"/>
      <c r="X10" s="32"/>
      <c r="Y10" s="32"/>
    </row>
    <row r="11" spans="1:25" ht="15.75" customHeight="1" x14ac:dyDescent="0.3">
      <c r="A11" s="17">
        <v>10</v>
      </c>
      <c r="B11" s="31" t="s">
        <v>58</v>
      </c>
      <c r="C11" s="31">
        <v>9</v>
      </c>
      <c r="D11" s="31">
        <v>7</v>
      </c>
      <c r="E11" s="31">
        <v>8</v>
      </c>
      <c r="F11" s="31" t="s">
        <v>49</v>
      </c>
      <c r="G11" s="31">
        <v>9</v>
      </c>
      <c r="H11" s="31">
        <v>10</v>
      </c>
      <c r="I11" s="31" t="s">
        <v>49</v>
      </c>
      <c r="J11" s="31">
        <v>10</v>
      </c>
      <c r="K11" s="31" t="s">
        <v>49</v>
      </c>
      <c r="L11" s="31">
        <v>9</v>
      </c>
      <c r="M11" s="31" t="s">
        <v>49</v>
      </c>
      <c r="N11" s="31">
        <v>10</v>
      </c>
      <c r="O11" s="31" t="s">
        <v>49</v>
      </c>
      <c r="P11" s="31" t="s">
        <v>49</v>
      </c>
      <c r="Q11" s="31" t="s">
        <v>49</v>
      </c>
      <c r="R11" s="18">
        <f t="shared" si="0"/>
        <v>0</v>
      </c>
      <c r="S11" s="14" t="str">
        <f t="shared" si="1"/>
        <v>X</v>
      </c>
      <c r="T11" s="19">
        <f t="shared" si="2"/>
        <v>7</v>
      </c>
      <c r="U11" s="20">
        <f t="shared" si="3"/>
        <v>9</v>
      </c>
      <c r="W11" s="32"/>
      <c r="X11" s="32"/>
      <c r="Y11" s="32"/>
    </row>
    <row r="12" spans="1:25" ht="15.75" customHeight="1" x14ac:dyDescent="0.3">
      <c r="A12" s="23">
        <v>11</v>
      </c>
      <c r="B12" s="31" t="s">
        <v>59</v>
      </c>
      <c r="C12" s="31">
        <v>9</v>
      </c>
      <c r="D12" s="31">
        <v>7</v>
      </c>
      <c r="E12" s="31">
        <v>8</v>
      </c>
      <c r="F12" s="31" t="s">
        <v>49</v>
      </c>
      <c r="G12" s="31">
        <v>5</v>
      </c>
      <c r="H12" s="31">
        <v>10</v>
      </c>
      <c r="I12" s="31" t="s">
        <v>49</v>
      </c>
      <c r="J12" s="31">
        <v>9</v>
      </c>
      <c r="K12" s="31" t="s">
        <v>49</v>
      </c>
      <c r="L12" s="31">
        <v>9</v>
      </c>
      <c r="M12" s="31" t="s">
        <v>49</v>
      </c>
      <c r="N12" s="31">
        <v>8</v>
      </c>
      <c r="O12" s="31" t="s">
        <v>49</v>
      </c>
      <c r="P12" s="31" t="s">
        <v>49</v>
      </c>
      <c r="Q12" s="31" t="s">
        <v>49</v>
      </c>
      <c r="R12" s="13">
        <f t="shared" si="0"/>
        <v>0</v>
      </c>
      <c r="S12" s="14" t="str">
        <f t="shared" si="1"/>
        <v>X</v>
      </c>
      <c r="T12" s="14">
        <f t="shared" si="2"/>
        <v>7</v>
      </c>
      <c r="U12" s="15">
        <f t="shared" si="3"/>
        <v>8.125</v>
      </c>
      <c r="W12" s="33" t="s">
        <v>74</v>
      </c>
      <c r="X12" s="33"/>
      <c r="Y12" s="33"/>
    </row>
    <row r="13" spans="1:25" ht="15.6" x14ac:dyDescent="0.3">
      <c r="A13" s="17">
        <v>12</v>
      </c>
      <c r="B13" s="31" t="s">
        <v>60</v>
      </c>
      <c r="C13" s="31">
        <v>2</v>
      </c>
      <c r="D13" s="31">
        <v>3</v>
      </c>
      <c r="E13" s="31">
        <v>3</v>
      </c>
      <c r="F13" s="31">
        <v>4</v>
      </c>
      <c r="G13" s="31">
        <v>2</v>
      </c>
      <c r="H13" s="31">
        <v>8</v>
      </c>
      <c r="I13" s="31" t="s">
        <v>49</v>
      </c>
      <c r="J13" s="31">
        <v>2</v>
      </c>
      <c r="K13" s="31" t="s">
        <v>49</v>
      </c>
      <c r="L13" s="31">
        <v>3</v>
      </c>
      <c r="M13" s="31" t="s">
        <v>49</v>
      </c>
      <c r="N13" s="31" t="s">
        <v>49</v>
      </c>
      <c r="O13" s="31" t="s">
        <v>49</v>
      </c>
      <c r="P13" s="31">
        <v>5</v>
      </c>
      <c r="Q13" s="31" t="s">
        <v>49</v>
      </c>
      <c r="R13" s="18">
        <f t="shared" si="0"/>
        <v>7</v>
      </c>
      <c r="S13" s="14" t="str">
        <f t="shared" si="1"/>
        <v/>
      </c>
      <c r="T13" s="19">
        <f t="shared" si="2"/>
        <v>6</v>
      </c>
      <c r="U13" s="20">
        <f t="shared" si="3"/>
        <v>3.5555555555555554</v>
      </c>
      <c r="W13" s="33"/>
      <c r="X13" s="33"/>
      <c r="Y13" s="33"/>
    </row>
    <row r="14" spans="1:25" ht="15.6" x14ac:dyDescent="0.3">
      <c r="A14" s="23">
        <v>13</v>
      </c>
      <c r="B14" s="31" t="s">
        <v>61</v>
      </c>
      <c r="C14" s="31">
        <v>5</v>
      </c>
      <c r="D14" s="31">
        <v>5</v>
      </c>
      <c r="E14" s="31">
        <v>4</v>
      </c>
      <c r="F14" s="31">
        <v>6</v>
      </c>
      <c r="G14" s="31">
        <v>2</v>
      </c>
      <c r="H14" s="31">
        <v>7</v>
      </c>
      <c r="I14" s="31" t="s">
        <v>49</v>
      </c>
      <c r="J14" s="31">
        <v>5</v>
      </c>
      <c r="K14" s="31" t="s">
        <v>49</v>
      </c>
      <c r="L14" s="31">
        <v>6</v>
      </c>
      <c r="M14" s="31" t="s">
        <v>49</v>
      </c>
      <c r="N14" s="31" t="s">
        <v>49</v>
      </c>
      <c r="O14" s="31" t="s">
        <v>49</v>
      </c>
      <c r="P14" s="31" t="s">
        <v>49</v>
      </c>
      <c r="Q14" s="31">
        <v>4</v>
      </c>
      <c r="R14" s="13">
        <f t="shared" si="0"/>
        <v>3</v>
      </c>
      <c r="S14" s="14" t="str">
        <f t="shared" si="1"/>
        <v/>
      </c>
      <c r="T14" s="14">
        <f t="shared" si="2"/>
        <v>6</v>
      </c>
      <c r="U14" s="15">
        <f t="shared" si="3"/>
        <v>4.8888888888888893</v>
      </c>
      <c r="W14" s="33"/>
      <c r="X14" s="33"/>
      <c r="Y14" s="33"/>
    </row>
    <row r="15" spans="1:25" ht="15.6" x14ac:dyDescent="0.3">
      <c r="A15" s="17">
        <v>14</v>
      </c>
      <c r="B15" s="31" t="s">
        <v>62</v>
      </c>
      <c r="C15" s="31">
        <v>4</v>
      </c>
      <c r="D15" s="31">
        <v>5</v>
      </c>
      <c r="E15" s="31">
        <v>6</v>
      </c>
      <c r="F15" s="31" t="s">
        <v>49</v>
      </c>
      <c r="G15" s="31">
        <v>5</v>
      </c>
      <c r="H15" s="31">
        <v>8</v>
      </c>
      <c r="I15" s="31" t="s">
        <v>49</v>
      </c>
      <c r="J15" s="31">
        <v>5</v>
      </c>
      <c r="K15" s="31" t="s">
        <v>49</v>
      </c>
      <c r="L15" s="31">
        <v>8</v>
      </c>
      <c r="M15" s="31" t="s">
        <v>49</v>
      </c>
      <c r="N15" s="31">
        <v>6</v>
      </c>
      <c r="O15" s="31" t="s">
        <v>49</v>
      </c>
      <c r="P15" s="31" t="s">
        <v>49</v>
      </c>
      <c r="Q15" s="31" t="s">
        <v>49</v>
      </c>
      <c r="R15" s="18">
        <f t="shared" si="0"/>
        <v>1</v>
      </c>
      <c r="S15" s="14" t="str">
        <f t="shared" si="1"/>
        <v>X</v>
      </c>
      <c r="T15" s="19">
        <f t="shared" si="2"/>
        <v>7</v>
      </c>
      <c r="U15" s="20">
        <f t="shared" si="3"/>
        <v>5.875</v>
      </c>
      <c r="W15" s="34" t="s">
        <v>30</v>
      </c>
      <c r="X15" s="34"/>
      <c r="Y15" s="34"/>
    </row>
    <row r="16" spans="1:25" ht="15.6" x14ac:dyDescent="0.3">
      <c r="A16" s="23">
        <v>15</v>
      </c>
      <c r="B16" s="31" t="s">
        <v>63</v>
      </c>
      <c r="C16" s="31">
        <v>6</v>
      </c>
      <c r="D16" s="31">
        <v>5</v>
      </c>
      <c r="E16" s="31">
        <v>6</v>
      </c>
      <c r="F16" s="31">
        <v>6</v>
      </c>
      <c r="G16" s="31">
        <v>4</v>
      </c>
      <c r="H16" s="31">
        <v>8</v>
      </c>
      <c r="I16" s="31" t="s">
        <v>49</v>
      </c>
      <c r="J16" s="31">
        <v>6</v>
      </c>
      <c r="K16" s="31" t="s">
        <v>49</v>
      </c>
      <c r="L16" s="31">
        <v>7</v>
      </c>
      <c r="M16" s="31" t="s">
        <v>49</v>
      </c>
      <c r="N16" s="31" t="s">
        <v>49</v>
      </c>
      <c r="O16" s="31" t="s">
        <v>49</v>
      </c>
      <c r="P16" s="31">
        <v>6</v>
      </c>
      <c r="Q16" s="31" t="s">
        <v>49</v>
      </c>
      <c r="R16" s="13">
        <f t="shared" si="0"/>
        <v>1</v>
      </c>
      <c r="S16" s="14" t="str">
        <f t="shared" si="1"/>
        <v/>
      </c>
      <c r="T16" s="14">
        <f t="shared" si="2"/>
        <v>6</v>
      </c>
      <c r="U16" s="15">
        <f t="shared" si="3"/>
        <v>6</v>
      </c>
    </row>
    <row r="17" spans="1:21" ht="15.6" x14ac:dyDescent="0.3">
      <c r="A17" s="17">
        <v>16</v>
      </c>
      <c r="B17" s="31" t="s">
        <v>64</v>
      </c>
      <c r="C17" s="31">
        <v>5</v>
      </c>
      <c r="D17" s="31">
        <v>6</v>
      </c>
      <c r="E17" s="31">
        <v>6</v>
      </c>
      <c r="F17" s="31">
        <v>7</v>
      </c>
      <c r="G17" s="31">
        <v>6</v>
      </c>
      <c r="H17" s="31">
        <v>8</v>
      </c>
      <c r="I17" s="31" t="s">
        <v>49</v>
      </c>
      <c r="J17" s="31">
        <v>7</v>
      </c>
      <c r="K17" s="31" t="s">
        <v>49</v>
      </c>
      <c r="L17" s="31">
        <v>6</v>
      </c>
      <c r="M17" s="31">
        <v>6</v>
      </c>
      <c r="N17" s="31" t="s">
        <v>49</v>
      </c>
      <c r="O17" s="31">
        <v>5</v>
      </c>
      <c r="P17" s="31" t="s">
        <v>49</v>
      </c>
      <c r="Q17" s="31" t="s">
        <v>49</v>
      </c>
      <c r="R17" s="18">
        <f t="shared" si="0"/>
        <v>0</v>
      </c>
      <c r="S17" s="14" t="str">
        <f t="shared" si="1"/>
        <v/>
      </c>
      <c r="T17" s="19">
        <f t="shared" si="2"/>
        <v>5</v>
      </c>
      <c r="U17" s="20">
        <f t="shared" si="3"/>
        <v>6.2</v>
      </c>
    </row>
    <row r="18" spans="1:21" ht="15.6" x14ac:dyDescent="0.3">
      <c r="A18" s="23">
        <v>17</v>
      </c>
      <c r="B18" s="31" t="s">
        <v>65</v>
      </c>
      <c r="C18" s="31">
        <v>3</v>
      </c>
      <c r="D18" s="31">
        <v>3</v>
      </c>
      <c r="E18" s="31">
        <v>4</v>
      </c>
      <c r="F18" s="31">
        <v>5</v>
      </c>
      <c r="G18" s="31">
        <v>2</v>
      </c>
      <c r="H18" s="31">
        <v>9</v>
      </c>
      <c r="I18" s="31">
        <v>6</v>
      </c>
      <c r="J18" s="31">
        <v>5</v>
      </c>
      <c r="K18" s="31" t="s">
        <v>49</v>
      </c>
      <c r="L18" s="31">
        <v>7</v>
      </c>
      <c r="M18" s="31" t="s">
        <v>49</v>
      </c>
      <c r="N18" s="31" t="s">
        <v>49</v>
      </c>
      <c r="O18" s="31" t="s">
        <v>49</v>
      </c>
      <c r="P18" s="31" t="s">
        <v>49</v>
      </c>
      <c r="Q18" s="31">
        <v>4</v>
      </c>
      <c r="R18" s="13">
        <f t="shared" si="0"/>
        <v>5</v>
      </c>
      <c r="S18" s="14" t="str">
        <f t="shared" si="1"/>
        <v/>
      </c>
      <c r="T18" s="14">
        <f t="shared" si="2"/>
        <v>5</v>
      </c>
      <c r="U18" s="15">
        <f t="shared" si="3"/>
        <v>4.8</v>
      </c>
    </row>
    <row r="19" spans="1:21" ht="15.6" x14ac:dyDescent="0.3">
      <c r="A19" s="17">
        <v>18</v>
      </c>
      <c r="B19" s="31" t="s">
        <v>66</v>
      </c>
      <c r="C19" s="31">
        <v>8</v>
      </c>
      <c r="D19" s="31">
        <v>5</v>
      </c>
      <c r="E19" s="31">
        <v>8</v>
      </c>
      <c r="F19" s="31" t="s">
        <v>49</v>
      </c>
      <c r="G19" s="31">
        <v>6</v>
      </c>
      <c r="H19" s="31">
        <v>9</v>
      </c>
      <c r="I19" s="31">
        <v>9</v>
      </c>
      <c r="J19" s="31">
        <v>9</v>
      </c>
      <c r="K19" s="31" t="s">
        <v>49</v>
      </c>
      <c r="L19" s="31">
        <v>8</v>
      </c>
      <c r="M19" s="31" t="s">
        <v>49</v>
      </c>
      <c r="N19" s="31">
        <v>8</v>
      </c>
      <c r="O19" s="31" t="s">
        <v>49</v>
      </c>
      <c r="P19" s="31" t="s">
        <v>49</v>
      </c>
      <c r="Q19" s="31" t="s">
        <v>49</v>
      </c>
      <c r="R19" s="18">
        <f t="shared" si="0"/>
        <v>0</v>
      </c>
      <c r="S19" s="14" t="str">
        <f t="shared" si="1"/>
        <v/>
      </c>
      <c r="T19" s="19">
        <f t="shared" si="2"/>
        <v>6</v>
      </c>
      <c r="U19" s="20">
        <f t="shared" si="3"/>
        <v>7.7777777777777777</v>
      </c>
    </row>
    <row r="20" spans="1:21" ht="15.6" x14ac:dyDescent="0.3">
      <c r="A20" s="23">
        <v>19</v>
      </c>
      <c r="B20" s="31" t="s">
        <v>67</v>
      </c>
      <c r="C20" s="31">
        <v>6</v>
      </c>
      <c r="D20" s="31">
        <v>4</v>
      </c>
      <c r="E20" s="31">
        <v>5</v>
      </c>
      <c r="F20" s="31">
        <v>8</v>
      </c>
      <c r="G20" s="31">
        <v>6</v>
      </c>
      <c r="H20" s="31">
        <v>9</v>
      </c>
      <c r="I20" s="31" t="s">
        <v>49</v>
      </c>
      <c r="J20" s="31">
        <v>8</v>
      </c>
      <c r="K20" s="31" t="s">
        <v>49</v>
      </c>
      <c r="L20" s="31">
        <v>5</v>
      </c>
      <c r="M20" s="31" t="s">
        <v>49</v>
      </c>
      <c r="N20" s="31" t="s">
        <v>49</v>
      </c>
      <c r="O20" s="31" t="s">
        <v>49</v>
      </c>
      <c r="P20" s="31" t="s">
        <v>49</v>
      </c>
      <c r="Q20" s="31">
        <v>6</v>
      </c>
      <c r="R20" s="13">
        <f t="shared" si="0"/>
        <v>1</v>
      </c>
      <c r="S20" s="14" t="str">
        <f t="shared" si="1"/>
        <v/>
      </c>
      <c r="T20" s="14">
        <f t="shared" si="2"/>
        <v>6</v>
      </c>
      <c r="U20" s="15">
        <f t="shared" si="3"/>
        <v>6.333333333333333</v>
      </c>
    </row>
    <row r="21" spans="1:21" ht="15.6" x14ac:dyDescent="0.3">
      <c r="A21" s="17">
        <v>20</v>
      </c>
      <c r="B21" s="31" t="s">
        <v>68</v>
      </c>
      <c r="C21" s="31">
        <v>5</v>
      </c>
      <c r="D21" s="31">
        <v>5</v>
      </c>
      <c r="E21" s="31">
        <v>7</v>
      </c>
      <c r="F21" s="31" t="s">
        <v>49</v>
      </c>
      <c r="G21" s="31">
        <v>8</v>
      </c>
      <c r="H21" s="31">
        <v>9</v>
      </c>
      <c r="I21" s="31">
        <v>8</v>
      </c>
      <c r="J21" s="31">
        <v>8</v>
      </c>
      <c r="K21" s="31" t="s">
        <v>49</v>
      </c>
      <c r="L21" s="31">
        <v>8</v>
      </c>
      <c r="M21" s="31" t="s">
        <v>49</v>
      </c>
      <c r="N21" s="31" t="s">
        <v>49</v>
      </c>
      <c r="O21" s="31" t="s">
        <v>49</v>
      </c>
      <c r="P21" s="31" t="s">
        <v>49</v>
      </c>
      <c r="Q21" s="31">
        <v>8</v>
      </c>
      <c r="R21" s="18">
        <f t="shared" si="0"/>
        <v>0</v>
      </c>
      <c r="S21" s="14" t="str">
        <f t="shared" si="1"/>
        <v/>
      </c>
      <c r="T21" s="19">
        <f t="shared" si="2"/>
        <v>6</v>
      </c>
      <c r="U21" s="20">
        <f t="shared" si="3"/>
        <v>7.333333333333333</v>
      </c>
    </row>
    <row r="22" spans="1:21" ht="15.6" x14ac:dyDescent="0.3">
      <c r="A22" s="23">
        <v>21</v>
      </c>
      <c r="B22" s="31" t="s">
        <v>69</v>
      </c>
      <c r="C22" s="31">
        <v>8</v>
      </c>
      <c r="D22" s="31">
        <v>7</v>
      </c>
      <c r="E22" s="31">
        <v>8</v>
      </c>
      <c r="F22" s="31" t="s">
        <v>49</v>
      </c>
      <c r="G22" s="31">
        <v>7</v>
      </c>
      <c r="H22" s="31">
        <v>9</v>
      </c>
      <c r="I22" s="31" t="s">
        <v>49</v>
      </c>
      <c r="J22" s="31">
        <v>9</v>
      </c>
      <c r="K22" s="31" t="s">
        <v>49</v>
      </c>
      <c r="L22" s="31">
        <v>9</v>
      </c>
      <c r="M22" s="31" t="s">
        <v>49</v>
      </c>
      <c r="N22" s="31">
        <v>10</v>
      </c>
      <c r="O22" s="31" t="s">
        <v>49</v>
      </c>
      <c r="P22" s="31" t="s">
        <v>49</v>
      </c>
      <c r="Q22" s="31" t="s">
        <v>49</v>
      </c>
      <c r="R22" s="13">
        <f t="shared" si="0"/>
        <v>0</v>
      </c>
      <c r="S22" s="14" t="str">
        <f t="shared" si="1"/>
        <v>X</v>
      </c>
      <c r="T22" s="14">
        <f t="shared" si="2"/>
        <v>7</v>
      </c>
      <c r="U22" s="15">
        <f t="shared" si="3"/>
        <v>8.375</v>
      </c>
    </row>
    <row r="23" spans="1:21" ht="15.6" x14ac:dyDescent="0.3">
      <c r="A23" s="17">
        <v>22</v>
      </c>
      <c r="B23" s="31" t="s">
        <v>70</v>
      </c>
      <c r="C23" s="31">
        <v>6</v>
      </c>
      <c r="D23" s="31">
        <v>7</v>
      </c>
      <c r="E23" s="31">
        <v>7</v>
      </c>
      <c r="F23" s="31">
        <v>8</v>
      </c>
      <c r="G23" s="31">
        <v>6</v>
      </c>
      <c r="H23" s="31">
        <v>9</v>
      </c>
      <c r="I23" s="31">
        <v>7</v>
      </c>
      <c r="J23" s="31">
        <v>10</v>
      </c>
      <c r="K23" s="31" t="s">
        <v>49</v>
      </c>
      <c r="L23" s="31">
        <v>9</v>
      </c>
      <c r="M23" s="31" t="s">
        <v>49</v>
      </c>
      <c r="N23" s="31" t="s">
        <v>49</v>
      </c>
      <c r="O23" s="31" t="s">
        <v>49</v>
      </c>
      <c r="P23" s="31" t="s">
        <v>49</v>
      </c>
      <c r="Q23" s="31">
        <v>8</v>
      </c>
      <c r="R23" s="18">
        <f t="shared" si="0"/>
        <v>0</v>
      </c>
      <c r="S23" s="14" t="str">
        <f t="shared" si="1"/>
        <v/>
      </c>
      <c r="T23" s="19">
        <f t="shared" si="2"/>
        <v>5</v>
      </c>
      <c r="U23" s="20">
        <f t="shared" si="3"/>
        <v>7.7</v>
      </c>
    </row>
    <row r="24" spans="1:21" ht="15.6" x14ac:dyDescent="0.3">
      <c r="A24" s="23">
        <v>23</v>
      </c>
      <c r="B24" s="31" t="s">
        <v>71</v>
      </c>
      <c r="C24" s="31">
        <v>6</v>
      </c>
      <c r="D24" s="31">
        <v>5</v>
      </c>
      <c r="E24" s="31">
        <v>5</v>
      </c>
      <c r="F24" s="31">
        <v>6</v>
      </c>
      <c r="G24" s="31">
        <v>4</v>
      </c>
      <c r="H24" s="31">
        <v>7</v>
      </c>
      <c r="I24" s="31" t="s">
        <v>49</v>
      </c>
      <c r="J24" s="31">
        <v>5</v>
      </c>
      <c r="K24" s="31" t="s">
        <v>49</v>
      </c>
      <c r="L24" s="31">
        <v>4</v>
      </c>
      <c r="M24" s="31" t="s">
        <v>49</v>
      </c>
      <c r="N24" s="31" t="s">
        <v>49</v>
      </c>
      <c r="O24" s="31">
        <v>5</v>
      </c>
      <c r="P24" s="31" t="s">
        <v>49</v>
      </c>
      <c r="Q24" s="31" t="s">
        <v>49</v>
      </c>
      <c r="R24" s="13">
        <f t="shared" si="0"/>
        <v>2</v>
      </c>
      <c r="S24" s="14" t="str">
        <f t="shared" si="1"/>
        <v/>
      </c>
      <c r="T24" s="14">
        <f t="shared" si="2"/>
        <v>6</v>
      </c>
      <c r="U24" s="15">
        <f t="shared" si="3"/>
        <v>5.2222222222222223</v>
      </c>
    </row>
    <row r="25" spans="1:21" ht="15.6" x14ac:dyDescent="0.3">
      <c r="A25" s="17">
        <v>24</v>
      </c>
      <c r="B25" s="31" t="s">
        <v>72</v>
      </c>
      <c r="C25" s="31">
        <v>6</v>
      </c>
      <c r="D25" s="31">
        <v>6</v>
      </c>
      <c r="E25" s="31">
        <v>6</v>
      </c>
      <c r="F25" s="31">
        <v>9</v>
      </c>
      <c r="G25" s="31">
        <v>5</v>
      </c>
      <c r="H25" s="31">
        <v>8</v>
      </c>
      <c r="I25" s="31" t="s">
        <v>49</v>
      </c>
      <c r="J25" s="31">
        <v>7</v>
      </c>
      <c r="K25" s="31" t="s">
        <v>49</v>
      </c>
      <c r="L25" s="31">
        <v>7</v>
      </c>
      <c r="M25" s="31" t="s">
        <v>49</v>
      </c>
      <c r="N25" s="31" t="s">
        <v>49</v>
      </c>
      <c r="O25" s="31">
        <v>8</v>
      </c>
      <c r="P25" s="31" t="s">
        <v>49</v>
      </c>
      <c r="Q25" s="31" t="s">
        <v>49</v>
      </c>
      <c r="R25" s="18">
        <f t="shared" si="0"/>
        <v>0</v>
      </c>
      <c r="S25" s="14" t="str">
        <f t="shared" si="1"/>
        <v/>
      </c>
      <c r="T25" s="19">
        <f t="shared" si="2"/>
        <v>6</v>
      </c>
      <c r="U25" s="20">
        <f t="shared" si="3"/>
        <v>6.8888888888888893</v>
      </c>
    </row>
    <row r="26" spans="1:21" ht="15.6" x14ac:dyDescent="0.3">
      <c r="A26" s="23">
        <v>25</v>
      </c>
      <c r="B26" s="31" t="s">
        <v>73</v>
      </c>
      <c r="C26" s="31">
        <v>9</v>
      </c>
      <c r="D26" s="31">
        <v>8</v>
      </c>
      <c r="E26" s="31">
        <v>8</v>
      </c>
      <c r="F26" s="31" t="s">
        <v>49</v>
      </c>
      <c r="G26" s="31">
        <v>8</v>
      </c>
      <c r="H26" s="31">
        <v>9</v>
      </c>
      <c r="I26" s="31" t="s">
        <v>49</v>
      </c>
      <c r="J26" s="31">
        <v>8</v>
      </c>
      <c r="K26" s="31" t="s">
        <v>49</v>
      </c>
      <c r="L26" s="31">
        <v>10</v>
      </c>
      <c r="M26" s="31" t="s">
        <v>49</v>
      </c>
      <c r="N26" s="31">
        <v>10</v>
      </c>
      <c r="O26" s="31" t="s">
        <v>49</v>
      </c>
      <c r="P26" s="31" t="s">
        <v>49</v>
      </c>
      <c r="Q26" s="31" t="s">
        <v>49</v>
      </c>
      <c r="R26" s="13">
        <f t="shared" si="0"/>
        <v>0</v>
      </c>
      <c r="S26" s="14" t="str">
        <f t="shared" si="1"/>
        <v>X</v>
      </c>
      <c r="T26" s="14">
        <f t="shared" si="2"/>
        <v>7</v>
      </c>
      <c r="U26" s="15">
        <f t="shared" si="3"/>
        <v>8.75</v>
      </c>
    </row>
    <row r="27" spans="1:21" ht="15.6" x14ac:dyDescent="0.3">
      <c r="B27" s="16" t="s">
        <v>28</v>
      </c>
      <c r="C27" s="26">
        <f t="shared" ref="C27:Q27" si="4">COUNTIF(C2:C26,"&lt;5")</f>
        <v>6</v>
      </c>
      <c r="D27" s="26">
        <f t="shared" si="4"/>
        <v>6</v>
      </c>
      <c r="E27" s="26">
        <f t="shared" si="4"/>
        <v>5</v>
      </c>
      <c r="F27" s="26">
        <f t="shared" si="4"/>
        <v>2</v>
      </c>
      <c r="G27" s="26">
        <f t="shared" si="4"/>
        <v>10</v>
      </c>
      <c r="H27" s="26">
        <f t="shared" si="4"/>
        <v>0</v>
      </c>
      <c r="I27" s="26">
        <f t="shared" si="4"/>
        <v>0</v>
      </c>
      <c r="J27" s="26">
        <f t="shared" si="4"/>
        <v>3</v>
      </c>
      <c r="K27" s="26">
        <f t="shared" si="4"/>
        <v>0</v>
      </c>
      <c r="L27" s="26">
        <f t="shared" si="4"/>
        <v>3</v>
      </c>
      <c r="M27" s="26">
        <f t="shared" si="4"/>
        <v>0</v>
      </c>
      <c r="N27" s="26">
        <f t="shared" si="4"/>
        <v>0</v>
      </c>
      <c r="O27" s="26">
        <f t="shared" si="4"/>
        <v>0</v>
      </c>
      <c r="P27" s="26">
        <f t="shared" si="4"/>
        <v>0</v>
      </c>
      <c r="Q27" s="26">
        <f t="shared" si="4"/>
        <v>5</v>
      </c>
      <c r="R27" s="27">
        <f>AVERAGE(R2:R26)</f>
        <v>1.6</v>
      </c>
      <c r="S27" s="14" t="str">
        <f>IF(T27&lt;$T$27,"X","")</f>
        <v/>
      </c>
      <c r="T27" s="28">
        <f>MODE(T2:T26)</f>
        <v>6</v>
      </c>
      <c r="U27" s="15">
        <f>(SUM(C2:Q26)+(COUNTIF(C2:Q26,"10-M")*10))/(COUNTIF(C2:Q26,"10-M")+COUNT(C2:Q26)+COUNTIF(C2:Q26,"NP")+COUNTIF(C2:Q26,"NE"))</f>
        <v>6.3839285714285712</v>
      </c>
    </row>
    <row r="28" spans="1:21" ht="15.6" x14ac:dyDescent="0.3">
      <c r="B28" s="16" t="s">
        <v>29</v>
      </c>
      <c r="C28" s="29">
        <f t="shared" ref="C28:Q28" si="5">IF((COUNT(C2:C26)+COUNTIF(C2:C26,"10-M"))=0,"--",C27/(COUNT(C2:C26)+COUNTIF(C2:C26,"10-M")))</f>
        <v>0.24</v>
      </c>
      <c r="D28" s="29">
        <f t="shared" si="5"/>
        <v>0.24</v>
      </c>
      <c r="E28" s="29">
        <f t="shared" si="5"/>
        <v>0.2</v>
      </c>
      <c r="F28" s="29">
        <f t="shared" si="5"/>
        <v>0.11764705882352941</v>
      </c>
      <c r="G28" s="29">
        <f t="shared" si="5"/>
        <v>0.4</v>
      </c>
      <c r="H28" s="29">
        <f t="shared" si="5"/>
        <v>0</v>
      </c>
      <c r="I28" s="29">
        <f t="shared" si="5"/>
        <v>0</v>
      </c>
      <c r="J28" s="29">
        <f t="shared" si="5"/>
        <v>0.12</v>
      </c>
      <c r="K28" s="29" t="str">
        <f t="shared" si="5"/>
        <v>--</v>
      </c>
      <c r="L28" s="29">
        <f t="shared" si="5"/>
        <v>0.12</v>
      </c>
      <c r="M28" s="29">
        <f t="shared" si="5"/>
        <v>0</v>
      </c>
      <c r="N28" s="29">
        <f t="shared" si="5"/>
        <v>0</v>
      </c>
      <c r="O28" s="29">
        <f t="shared" si="5"/>
        <v>0</v>
      </c>
      <c r="P28" s="29">
        <f t="shared" si="5"/>
        <v>0</v>
      </c>
      <c r="Q28" s="29">
        <f t="shared" si="5"/>
        <v>0.55555555555555558</v>
      </c>
      <c r="S28" s="30"/>
      <c r="T28" s="30"/>
    </row>
  </sheetData>
  <mergeCells count="3">
    <mergeCell ref="W9:Y11"/>
    <mergeCell ref="W12:Y14"/>
    <mergeCell ref="W15:Y15"/>
  </mergeCells>
  <conditionalFormatting sqref="C2:Q26">
    <cfRule type="cellIs" dxfId="5" priority="2" operator="lessThan">
      <formula>5</formula>
    </cfRule>
    <cfRule type="expression" dxfId="4" priority="4">
      <formula>LEN(TRIM(C2))=0</formula>
    </cfRule>
  </conditionalFormatting>
  <conditionalFormatting sqref="S2:S27">
    <cfRule type="cellIs" dxfId="3" priority="5" operator="equal">
      <formula>"X"</formula>
    </cfRule>
  </conditionalFormatting>
  <conditionalFormatting sqref="U2:U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51180555555555496" footer="0.51180555555555496"/>
  <pageSetup paperSize="9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Instrucciones</vt:lpstr>
      <vt:lpstr>Actilla</vt:lpstr>
      <vt:lpstr>Actilla!Print_Area</vt:lpstr>
    </vt:vector>
  </TitlesOfParts>
  <Company>Comunidad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ICM</dc:creator>
  <dc:description/>
  <cp:lastModifiedBy>Eduardo Olivares López</cp:lastModifiedBy>
  <cp:revision>0</cp:revision>
  <cp:lastPrinted>2022-11-22T20:37:53Z</cp:lastPrinted>
  <dcterms:created xsi:type="dcterms:W3CDTF">2018-11-07T11:10:09Z</dcterms:created>
  <dcterms:modified xsi:type="dcterms:W3CDTF">2026-06-13T09:16:30Z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Comunidad de Madrid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