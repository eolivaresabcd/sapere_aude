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2" documentId="14_{20891835-A900-4E6F-B467-720F2D4F79E2}" xr6:coauthVersionLast="47" xr6:coauthVersionMax="47" xr10:uidLastSave="{C4E1D4FB-D7A0-46CB-B835-FC153039D3C5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<sst xmlns="http://schemas.openxmlformats.org/spreadsheetml/2006/main" count="228" uniqueCount="76">
  <si>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</si>
  <si>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</si>
  <si>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</si>
  <si>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</si>
  <si>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</si>
  <si>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</si>
  <si>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</si>
  <si>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</si>
  <si>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</si>
  <si>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</si>
  <si>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</si>
  <si>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</si>
  <si>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</si>
  <si>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</si>
  <si>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</si>
  <si>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</si>
  <si>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</si>
  <si>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</si>
  <si>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</si>
  <si>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</si>
  <si>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</si>
  <si>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</si>
  <si>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</si>
  <si>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</si>
  <si>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</si>
  <si>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</si>
  <si>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</si>
  <si>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</si>
  <si>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</si>
  <si>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</si>
  <si>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</si>
  <si>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</si>
  <si>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</si>
  <si>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</si>
  <si>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</si>
  <si>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</si>
  <si>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</si>
  <si>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</si>
  <si>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</si>
  <si>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</si>
  <si>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</si>
  <si>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</si>
  <si>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</si>
  <si>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</si>
  <si>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</si>
  <si>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</si>
  <si>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</si>
  <si>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</si>
  <si>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</si>
  <si>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</si>
  <si>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</si>
  <si>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</si>
  <si>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</si>
  <si>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</si>
  <si>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</si>
  <si>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</si>
  <si>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</si>
  <si>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</si>
  <si>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</si>
  <si>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</si>
  <si>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</si>
  <si>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</si>
  <si>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</si>
  <si>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</si>
  <si>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</si>
  <si>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</si>
  <si>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</si>
  <si>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</si>
  <si>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</si>
  <si>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</si>
  <si>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</si>
  <si>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</si>
  <si>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</si>
  <si>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</si>
  <si>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10-M</t>
  </si>
  <si>
    <t>EVALUACIÓN
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</si>
</sst>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</font>
    <font>
      <sz val="12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5" fontId="8" fillId="0" borderId="0" applyBorder="0" applyProtection="0"/>
    <xf numFmtId="0" fontId="1" fillId="0" borderId="0"/>
    <xf numFmtId="0" fontId="9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10" fillId="0" borderId="11" xfId="3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4">
    <cellStyle name="Explanatory Text" xfId="2" builtinId="53" customBuiltin="1"/>
    <cellStyle name="Normal" xfId="0" builtinId="0"/>
    <cellStyle name="Normal 2" xfId="3" xr:uid="{11178035-4857-4F54-A6C2-705F42B4A1BB}"/>
    <cellStyle name="Percent" xfId="1" builtinId="5"/>
  </cellStyles>
  <dxfs count="6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35" t="s">
        <v>4</v>
      </c>
      <c r="C8" s="35"/>
      <c r="D8" s="35"/>
      <c r="E8" s="35"/>
      <c r="F8" s="35"/>
      <c r="G8" s="35"/>
      <c r="H8" s="35"/>
      <c r="I8" s="35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35" t="s">
        <v>8</v>
      </c>
      <c r="C15" s="35"/>
      <c r="D15" s="35"/>
      <c r="E15" s="35"/>
      <c r="F15" s="35"/>
      <c r="G15" s="35"/>
      <c r="H15" s="35"/>
      <c r="I15" s="35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35" t="s">
        <v>13</v>
      </c>
      <c r="C22" s="35"/>
      <c r="D22" s="35"/>
      <c r="E22" s="35"/>
      <c r="F22" s="35"/>
      <c r="G22" s="35"/>
      <c r="H22" s="35"/>
      <c r="I22" s="35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zoomScaleNormal="100" workbookViewId="0">
      <selection activeCell="W18" sqref="W18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31" t="s">
        <v>48</v>
      </c>
      <c r="C2" s="31">
        <v>6</v>
      </c>
      <c r="D2" s="31">
        <v>5</v>
      </c>
      <c r="E2" s="31">
        <v>6</v>
      </c>
      <c r="F2" s="31" t="s">
        <v>49</v>
      </c>
      <c r="G2" s="31">
        <v>5</v>
      </c>
      <c r="H2" s="31">
        <v>8</v>
      </c>
      <c r="I2" s="31" t="s">
        <v>49</v>
      </c>
      <c r="J2" s="31">
        <v>7</v>
      </c>
      <c r="K2" s="31" t="s">
        <v>49</v>
      </c>
      <c r="L2" s="31">
        <v>4</v>
      </c>
      <c r="M2" s="31" t="s">
        <v>49</v>
      </c>
      <c r="N2" s="31">
        <v>7</v>
      </c>
      <c r="O2" s="31" t="s">
        <v>49</v>
      </c>
      <c r="P2" s="31" t="s">
        <v>49</v>
      </c>
      <c r="Q2" s="31" t="s">
        <v>49</v>
      </c>
      <c r="R2" s="13">
        <f t="shared" ref="R2:R26" si="0">COUNTIF(C2:Q2,"&lt;5")+COUNTIF(C2:Q2,"NP")+COUNTIF(C2:Q2,"NE")</f>
        <v>1</v>
      </c>
      <c r="S2" s="14" t="str">
        <f t="shared" ref="S2:S26" si="1">IF(T2&gt;$T$27,"X","")</f>
        <v>X</v>
      </c>
      <c r="T2" s="14">
        <f t="shared" ref="T2:T26" si="2">COUNTBLANK(C2:Q2)</f>
        <v>7</v>
      </c>
      <c r="U2" s="15">
        <f t="shared" ref="U2:U26" si="3">(SUM(C2:Q2)+(COUNTIF(C2:Q2,"10-M")*10))/(COUNTIF(C2:Q2,"10-M")+COUNT(C2:Q2)+COUNTIF(C2:Q2,"NP")+COUNTIF(C2:Q2,"NE"))</f>
        <v>6</v>
      </c>
      <c r="X2" s="16" t="s">
        <v>22</v>
      </c>
      <c r="Y2" t="s">
        <v>23</v>
      </c>
    </row>
    <row r="3" spans="1:25" ht="15.6" x14ac:dyDescent="0.3">
      <c r="A3" s="17">
        <v>2</v>
      </c>
      <c r="B3" s="31" t="s">
        <v>50</v>
      </c>
      <c r="C3" s="31">
        <v>7</v>
      </c>
      <c r="D3" s="31">
        <v>6</v>
      </c>
      <c r="E3" s="31">
        <v>7</v>
      </c>
      <c r="F3" s="31">
        <v>6</v>
      </c>
      <c r="G3" s="31">
        <v>6</v>
      </c>
      <c r="H3" s="31">
        <v>9</v>
      </c>
      <c r="I3" s="31" t="s">
        <v>49</v>
      </c>
      <c r="J3" s="31">
        <v>7</v>
      </c>
      <c r="K3" s="31" t="s">
        <v>49</v>
      </c>
      <c r="L3" s="31">
        <v>7</v>
      </c>
      <c r="M3" s="31" t="s">
        <v>49</v>
      </c>
      <c r="N3" s="31" t="s">
        <v>49</v>
      </c>
      <c r="O3" s="31">
        <v>6</v>
      </c>
      <c r="P3" s="31" t="s">
        <v>49</v>
      </c>
      <c r="Q3" s="31" t="s">
        <v>49</v>
      </c>
      <c r="R3" s="18">
        <f t="shared" si="0"/>
        <v>0</v>
      </c>
      <c r="S3" s="14" t="str">
        <f t="shared" si="1"/>
        <v/>
      </c>
      <c r="T3" s="19">
        <f t="shared" si="2"/>
        <v>6</v>
      </c>
      <c r="U3" s="20">
        <f t="shared" si="3"/>
        <v>6.7777777777777777</v>
      </c>
      <c r="W3" s="21">
        <v>0</v>
      </c>
      <c r="X3" s="21">
        <f>COUNTIF(R2:R26,0)</f>
        <v>15</v>
      </c>
      <c r="Y3" s="22">
        <f>X3/SUM($X$3:$X$7)</f>
        <v>0.6</v>
      </c>
    </row>
    <row r="4" spans="1:25" ht="15.6" x14ac:dyDescent="0.3">
      <c r="A4" s="23">
        <v>3</v>
      </c>
      <c r="B4" s="31" t="s">
        <v>51</v>
      </c>
      <c r="C4" s="31">
        <v>7</v>
      </c>
      <c r="D4" s="31">
        <v>5</v>
      </c>
      <c r="E4" s="31">
        <v>5</v>
      </c>
      <c r="F4" s="31">
        <v>7</v>
      </c>
      <c r="G4" s="31">
        <v>5</v>
      </c>
      <c r="H4" s="31">
        <v>8</v>
      </c>
      <c r="I4" s="31" t="s">
        <v>49</v>
      </c>
      <c r="J4" s="31">
        <v>6</v>
      </c>
      <c r="K4" s="31" t="s">
        <v>49</v>
      </c>
      <c r="L4" s="31">
        <v>7</v>
      </c>
      <c r="M4" s="31" t="s">
        <v>49</v>
      </c>
      <c r="N4" s="31" t="s">
        <v>49</v>
      </c>
      <c r="O4" s="31">
        <v>6</v>
      </c>
      <c r="P4" s="31" t="s">
        <v>49</v>
      </c>
      <c r="Q4" s="31" t="s">
        <v>49</v>
      </c>
      <c r="R4" s="13">
        <f t="shared" si="0"/>
        <v>0</v>
      </c>
      <c r="S4" s="14" t="str">
        <f t="shared" si="1"/>
        <v/>
      </c>
      <c r="T4" s="14">
        <f t="shared" si="2"/>
        <v>6</v>
      </c>
      <c r="U4" s="15">
        <f t="shared" si="3"/>
        <v>6.2222222222222223</v>
      </c>
      <c r="W4" s="24" t="s">
        <v>24</v>
      </c>
      <c r="X4" s="21">
        <f>COUNTIF(R2:R26,"&lt;3")-X3</f>
        <v>5</v>
      </c>
      <c r="Y4" s="22">
        <f>X4/SUM($X$3:$X$7)</f>
        <v>0.2</v>
      </c>
    </row>
    <row r="5" spans="1:25" ht="15.6" x14ac:dyDescent="0.3">
      <c r="A5" s="17">
        <v>4</v>
      </c>
      <c r="B5" s="31" t="s">
        <v>52</v>
      </c>
      <c r="C5" s="31">
        <v>3</v>
      </c>
      <c r="D5" s="31">
        <v>3</v>
      </c>
      <c r="E5" s="31">
        <v>4</v>
      </c>
      <c r="F5" s="31">
        <v>3</v>
      </c>
      <c r="G5" s="31">
        <v>2</v>
      </c>
      <c r="H5" s="31">
        <v>6</v>
      </c>
      <c r="I5" s="31" t="s">
        <v>49</v>
      </c>
      <c r="J5" s="31">
        <v>4</v>
      </c>
      <c r="K5" s="31" t="s">
        <v>49</v>
      </c>
      <c r="L5" s="31">
        <v>5</v>
      </c>
      <c r="M5" s="31" t="s">
        <v>49</v>
      </c>
      <c r="N5" s="31" t="s">
        <v>49</v>
      </c>
      <c r="O5" s="31" t="s">
        <v>49</v>
      </c>
      <c r="P5" s="31" t="s">
        <v>49</v>
      </c>
      <c r="Q5" s="31">
        <v>5</v>
      </c>
      <c r="R5" s="18">
        <f t="shared" si="0"/>
        <v>6</v>
      </c>
      <c r="S5" s="14" t="str">
        <f t="shared" si="1"/>
        <v/>
      </c>
      <c r="T5" s="19">
        <f t="shared" si="2"/>
        <v>6</v>
      </c>
      <c r="U5" s="20">
        <f t="shared" si="3"/>
        <v>3.8888888888888888</v>
      </c>
      <c r="W5" s="24" t="s">
        <v>25</v>
      </c>
      <c r="X5" s="21">
        <f>COUNTIF(R2:R26,"&lt;5")-X3-X4</f>
        <v>3</v>
      </c>
      <c r="Y5" s="22">
        <f>X5/SUM($X$3:$X$7)</f>
        <v>0.12</v>
      </c>
    </row>
    <row r="6" spans="1:25" ht="15.6" x14ac:dyDescent="0.3">
      <c r="A6" s="23">
        <v>5</v>
      </c>
      <c r="B6" s="31" t="s">
        <v>53</v>
      </c>
      <c r="C6" s="31">
        <v>3</v>
      </c>
      <c r="D6" s="31">
        <v>2</v>
      </c>
      <c r="E6" s="31">
        <v>4</v>
      </c>
      <c r="F6" s="31">
        <v>5</v>
      </c>
      <c r="G6" s="31">
        <v>2</v>
      </c>
      <c r="H6" s="31">
        <v>6</v>
      </c>
      <c r="I6" s="31" t="s">
        <v>49</v>
      </c>
      <c r="J6" s="31">
        <v>7</v>
      </c>
      <c r="K6" s="31" t="s">
        <v>49</v>
      </c>
      <c r="L6" s="31">
        <v>6</v>
      </c>
      <c r="M6" s="31" t="s">
        <v>49</v>
      </c>
      <c r="N6" s="31" t="s">
        <v>49</v>
      </c>
      <c r="O6" s="31" t="s">
        <v>49</v>
      </c>
      <c r="P6" s="31" t="s">
        <v>49</v>
      </c>
      <c r="Q6" s="31">
        <v>5</v>
      </c>
      <c r="R6" s="13">
        <f t="shared" si="0"/>
        <v>4</v>
      </c>
      <c r="S6" s="14" t="str">
        <f t="shared" si="1"/>
        <v/>
      </c>
      <c r="T6" s="14">
        <f t="shared" si="2"/>
        <v>6</v>
      </c>
      <c r="U6" s="15">
        <f t="shared" si="3"/>
        <v>4.4444444444444446</v>
      </c>
      <c r="W6" s="24" t="s">
        <v>26</v>
      </c>
      <c r="X6" s="21">
        <f>COUNTIF(R2:R26,"&lt;7")-X3-X4-X5</f>
        <v>2</v>
      </c>
      <c r="Y6" s="22">
        <f>X6/SUM($X$3:$X$7)</f>
        <v>0.08</v>
      </c>
    </row>
    <row r="7" spans="1:25" ht="15.6" x14ac:dyDescent="0.3">
      <c r="A7" s="17">
        <v>6</v>
      </c>
      <c r="B7" s="31" t="s">
        <v>54</v>
      </c>
      <c r="C7" s="31">
        <v>9</v>
      </c>
      <c r="D7" s="31">
        <v>8</v>
      </c>
      <c r="E7" s="31">
        <v>8</v>
      </c>
      <c r="F7" s="31">
        <v>9</v>
      </c>
      <c r="G7" s="31">
        <v>8</v>
      </c>
      <c r="H7" s="31">
        <v>9</v>
      </c>
      <c r="I7" s="31" t="s">
        <v>49</v>
      </c>
      <c r="J7" s="31">
        <v>9</v>
      </c>
      <c r="K7" s="31" t="s">
        <v>49</v>
      </c>
      <c r="L7" s="31">
        <v>9</v>
      </c>
      <c r="M7" s="31" t="s">
        <v>49</v>
      </c>
      <c r="N7" s="31">
        <v>8</v>
      </c>
      <c r="O7" s="31" t="s">
        <v>49</v>
      </c>
      <c r="P7" s="31" t="s">
        <v>49</v>
      </c>
      <c r="Q7" s="31" t="s">
        <v>49</v>
      </c>
      <c r="R7" s="18">
        <f t="shared" si="0"/>
        <v>0</v>
      </c>
      <c r="S7" s="14" t="str">
        <f t="shared" si="1"/>
        <v/>
      </c>
      <c r="T7" s="19">
        <f t="shared" si="2"/>
        <v>6</v>
      </c>
      <c r="U7" s="20">
        <f t="shared" si="3"/>
        <v>8.5555555555555554</v>
      </c>
      <c r="W7" s="24" t="s">
        <v>27</v>
      </c>
      <c r="X7" s="21">
        <f>COUNTIF(R2:R26,"&gt;6")</f>
        <v>0</v>
      </c>
      <c r="Y7" s="22">
        <f>X7/SUM($X$3:$X$7)</f>
        <v>0</v>
      </c>
    </row>
    <row r="8" spans="1:25" ht="15.6" x14ac:dyDescent="0.3">
      <c r="A8" s="23">
        <v>7</v>
      </c>
      <c r="B8" s="31" t="s">
        <v>55</v>
      </c>
      <c r="C8" s="31">
        <v>5</v>
      </c>
      <c r="D8" s="31">
        <v>5</v>
      </c>
      <c r="E8" s="31">
        <v>6</v>
      </c>
      <c r="F8" s="31">
        <v>6</v>
      </c>
      <c r="G8" s="31">
        <v>8</v>
      </c>
      <c r="H8" s="31">
        <v>7</v>
      </c>
      <c r="I8" s="31" t="s">
        <v>49</v>
      </c>
      <c r="J8" s="31">
        <v>4</v>
      </c>
      <c r="K8" s="31" t="s">
        <v>49</v>
      </c>
      <c r="L8" s="31">
        <v>5</v>
      </c>
      <c r="M8" s="31">
        <v>6</v>
      </c>
      <c r="N8" s="31" t="s">
        <v>49</v>
      </c>
      <c r="O8" s="31" t="s">
        <v>49</v>
      </c>
      <c r="P8" s="31" t="s">
        <v>49</v>
      </c>
      <c r="Q8" s="31">
        <v>9</v>
      </c>
      <c r="R8" s="13">
        <f t="shared" si="0"/>
        <v>1</v>
      </c>
      <c r="S8" s="14" t="str">
        <f t="shared" si="1"/>
        <v/>
      </c>
      <c r="T8" s="14">
        <f t="shared" si="2"/>
        <v>5</v>
      </c>
      <c r="U8" s="15">
        <f t="shared" si="3"/>
        <v>6.1</v>
      </c>
      <c r="W8" s="25"/>
    </row>
    <row r="9" spans="1:25" ht="15.6" x14ac:dyDescent="0.3">
      <c r="A9" s="17">
        <v>8</v>
      </c>
      <c r="B9" s="31" t="s">
        <v>56</v>
      </c>
      <c r="C9" s="31">
        <v>5</v>
      </c>
      <c r="D9" s="31">
        <v>4</v>
      </c>
      <c r="E9" s="31">
        <v>5</v>
      </c>
      <c r="F9" s="31">
        <v>6</v>
      </c>
      <c r="G9" s="31">
        <v>3</v>
      </c>
      <c r="H9" s="31">
        <v>7</v>
      </c>
      <c r="I9" s="31">
        <v>7</v>
      </c>
      <c r="J9" s="31">
        <v>6</v>
      </c>
      <c r="K9" s="31" t="s">
        <v>49</v>
      </c>
      <c r="L9" s="31">
        <v>6</v>
      </c>
      <c r="M9" s="31" t="s">
        <v>49</v>
      </c>
      <c r="N9" s="31" t="s">
        <v>49</v>
      </c>
      <c r="O9" s="31" t="s">
        <v>49</v>
      </c>
      <c r="P9" s="31" t="s">
        <v>49</v>
      </c>
      <c r="Q9" s="31">
        <v>5</v>
      </c>
      <c r="R9" s="18">
        <f t="shared" si="0"/>
        <v>2</v>
      </c>
      <c r="S9" s="14" t="str">
        <f t="shared" si="1"/>
        <v/>
      </c>
      <c r="T9" s="19">
        <f t="shared" si="2"/>
        <v>5</v>
      </c>
      <c r="U9" s="20">
        <f t="shared" si="3"/>
        <v>5.4</v>
      </c>
      <c r="W9" s="32" t="s">
        <v>31</v>
      </c>
      <c r="X9" s="32"/>
      <c r="Y9" s="32"/>
    </row>
    <row r="10" spans="1:25" ht="15.75" customHeight="1" x14ac:dyDescent="0.3">
      <c r="A10" s="23">
        <v>9</v>
      </c>
      <c r="B10" s="31" t="s">
        <v>57</v>
      </c>
      <c r="C10" s="31">
        <v>9</v>
      </c>
      <c r="D10" s="31">
        <v>8</v>
      </c>
      <c r="E10" s="31">
        <v>8</v>
      </c>
      <c r="F10" s="31">
        <v>8</v>
      </c>
      <c r="G10" s="31">
        <v>6</v>
      </c>
      <c r="H10" s="31">
        <v>10</v>
      </c>
      <c r="I10" s="31" t="s">
        <v>49</v>
      </c>
      <c r="J10" s="31">
        <v>9</v>
      </c>
      <c r="K10" s="31" t="s">
        <v>49</v>
      </c>
      <c r="L10" s="31">
        <v>9</v>
      </c>
      <c r="M10" s="31" t="s">
        <v>49</v>
      </c>
      <c r="N10" s="31" t="s">
        <v>49</v>
      </c>
      <c r="O10" s="31">
        <v>8</v>
      </c>
      <c r="P10" s="31" t="s">
        <v>49</v>
      </c>
      <c r="Q10" s="31" t="s">
        <v>49</v>
      </c>
      <c r="R10" s="13">
        <f t="shared" si="0"/>
        <v>0</v>
      </c>
      <c r="S10" s="14" t="str">
        <f t="shared" si="1"/>
        <v/>
      </c>
      <c r="T10" s="14">
        <f t="shared" si="2"/>
        <v>6</v>
      </c>
      <c r="U10" s="15">
        <f t="shared" si="3"/>
        <v>8.3333333333333339</v>
      </c>
      <c r="W10" s="32"/>
      <c r="X10" s="32"/>
      <c r="Y10" s="32"/>
    </row>
    <row r="11" spans="1:25" ht="15.75" customHeight="1" x14ac:dyDescent="0.3">
      <c r="A11" s="17">
        <v>10</v>
      </c>
      <c r="B11" s="31" t="s">
        <v>58</v>
      </c>
      <c r="C11" s="31">
        <v>9</v>
      </c>
      <c r="D11" s="31">
        <v>7</v>
      </c>
      <c r="E11" s="31">
        <v>8</v>
      </c>
      <c r="F11" s="31" t="s">
        <v>49</v>
      </c>
      <c r="G11" s="31" t="s">
        <v>74</v>
      </c>
      <c r="H11" s="31">
        <v>10</v>
      </c>
      <c r="I11" s="31" t="s">
        <v>49</v>
      </c>
      <c r="J11" s="31">
        <v>9</v>
      </c>
      <c r="K11" s="31" t="s">
        <v>49</v>
      </c>
      <c r="L11" s="31">
        <v>9</v>
      </c>
      <c r="M11" s="31" t="s">
        <v>49</v>
      </c>
      <c r="N11" s="31">
        <v>10</v>
      </c>
      <c r="O11" s="31" t="s">
        <v>49</v>
      </c>
      <c r="P11" s="31" t="s">
        <v>49</v>
      </c>
      <c r="Q11" s="31" t="s">
        <v>49</v>
      </c>
      <c r="R11" s="18">
        <f t="shared" si="0"/>
        <v>0</v>
      </c>
      <c r="S11" s="14" t="str">
        <f t="shared" si="1"/>
        <v>X</v>
      </c>
      <c r="T11" s="19">
        <f t="shared" si="2"/>
        <v>7</v>
      </c>
      <c r="U11" s="20">
        <f t="shared" si="3"/>
        <v>9</v>
      </c>
      <c r="W11" s="32"/>
      <c r="X11" s="32"/>
      <c r="Y11" s="32"/>
    </row>
    <row r="12" spans="1:25" ht="15.75" customHeight="1" x14ac:dyDescent="0.3">
      <c r="A12" s="23">
        <v>11</v>
      </c>
      <c r="B12" s="31" t="s">
        <v>59</v>
      </c>
      <c r="C12" s="31">
        <v>8</v>
      </c>
      <c r="D12" s="31">
        <v>7</v>
      </c>
      <c r="E12" s="31">
        <v>8</v>
      </c>
      <c r="F12" s="31" t="s">
        <v>49</v>
      </c>
      <c r="G12" s="31">
        <v>6</v>
      </c>
      <c r="H12" s="31">
        <v>10</v>
      </c>
      <c r="I12" s="31" t="s">
        <v>49</v>
      </c>
      <c r="J12" s="31">
        <v>9</v>
      </c>
      <c r="K12" s="31" t="s">
        <v>49</v>
      </c>
      <c r="L12" s="31">
        <v>9</v>
      </c>
      <c r="M12" s="31" t="s">
        <v>49</v>
      </c>
      <c r="N12" s="31">
        <v>8</v>
      </c>
      <c r="O12" s="31" t="s">
        <v>49</v>
      </c>
      <c r="P12" s="31" t="s">
        <v>49</v>
      </c>
      <c r="Q12" s="31" t="s">
        <v>49</v>
      </c>
      <c r="R12" s="13">
        <f t="shared" si="0"/>
        <v>0</v>
      </c>
      <c r="S12" s="14" t="str">
        <f t="shared" si="1"/>
        <v>X</v>
      </c>
      <c r="T12" s="14">
        <f t="shared" si="2"/>
        <v>7</v>
      </c>
      <c r="U12" s="15">
        <f t="shared" si="3"/>
        <v>8.125</v>
      </c>
      <c r="W12" s="33" t="s">
        <v>75</v>
      </c>
      <c r="X12" s="33"/>
      <c r="Y12" s="33"/>
    </row>
    <row r="13" spans="1:25" ht="15.6" x14ac:dyDescent="0.3">
      <c r="A13" s="17">
        <v>12</v>
      </c>
      <c r="B13" s="31" t="s">
        <v>60</v>
      </c>
      <c r="C13" s="31" t="s">
        <v>49</v>
      </c>
      <c r="D13" s="31">
        <v>3</v>
      </c>
      <c r="E13" s="31">
        <v>4</v>
      </c>
      <c r="F13" s="31">
        <v>4</v>
      </c>
      <c r="G13" s="31">
        <v>2</v>
      </c>
      <c r="H13" s="31">
        <v>7</v>
      </c>
      <c r="I13" s="31" t="s">
        <v>49</v>
      </c>
      <c r="J13" s="31">
        <v>4</v>
      </c>
      <c r="K13" s="31" t="s">
        <v>49</v>
      </c>
      <c r="L13" s="31">
        <v>4</v>
      </c>
      <c r="M13" s="31" t="s">
        <v>49</v>
      </c>
      <c r="N13" s="31" t="s">
        <v>49</v>
      </c>
      <c r="O13" s="31" t="s">
        <v>49</v>
      </c>
      <c r="P13" s="31">
        <v>5</v>
      </c>
      <c r="Q13" s="31" t="s">
        <v>49</v>
      </c>
      <c r="R13" s="18">
        <f t="shared" si="0"/>
        <v>6</v>
      </c>
      <c r="S13" s="14" t="str">
        <f t="shared" si="1"/>
        <v>X</v>
      </c>
      <c r="T13" s="19">
        <f t="shared" si="2"/>
        <v>7</v>
      </c>
      <c r="U13" s="20">
        <f t="shared" si="3"/>
        <v>4.125</v>
      </c>
      <c r="W13" s="33"/>
      <c r="X13" s="33"/>
      <c r="Y13" s="33"/>
    </row>
    <row r="14" spans="1:25" ht="15.6" x14ac:dyDescent="0.3">
      <c r="A14" s="23">
        <v>13</v>
      </c>
      <c r="B14" s="31" t="s">
        <v>61</v>
      </c>
      <c r="C14" s="31">
        <v>5</v>
      </c>
      <c r="D14" s="31">
        <v>5</v>
      </c>
      <c r="E14" s="31">
        <v>5</v>
      </c>
      <c r="F14" s="31">
        <v>6</v>
      </c>
      <c r="G14" s="31">
        <v>3</v>
      </c>
      <c r="H14" s="31">
        <v>8</v>
      </c>
      <c r="I14" s="31" t="s">
        <v>49</v>
      </c>
      <c r="J14" s="31">
        <v>7</v>
      </c>
      <c r="K14" s="31" t="s">
        <v>49</v>
      </c>
      <c r="L14" s="31">
        <v>7</v>
      </c>
      <c r="M14" s="31" t="s">
        <v>49</v>
      </c>
      <c r="N14" s="31" t="s">
        <v>49</v>
      </c>
      <c r="O14" s="31" t="s">
        <v>49</v>
      </c>
      <c r="P14" s="31" t="s">
        <v>49</v>
      </c>
      <c r="Q14" s="31">
        <v>6</v>
      </c>
      <c r="R14" s="13">
        <f t="shared" si="0"/>
        <v>1</v>
      </c>
      <c r="S14" s="14" t="str">
        <f t="shared" si="1"/>
        <v/>
      </c>
      <c r="T14" s="14">
        <f t="shared" si="2"/>
        <v>6</v>
      </c>
      <c r="U14" s="15">
        <f t="shared" si="3"/>
        <v>5.7777777777777777</v>
      </c>
      <c r="W14" s="33"/>
      <c r="X14" s="33"/>
      <c r="Y14" s="33"/>
    </row>
    <row r="15" spans="1:25" ht="15.6" x14ac:dyDescent="0.3">
      <c r="A15" s="17">
        <v>14</v>
      </c>
      <c r="B15" s="31" t="s">
        <v>62</v>
      </c>
      <c r="C15" s="31">
        <v>5</v>
      </c>
      <c r="D15" s="31">
        <v>6</v>
      </c>
      <c r="E15" s="31">
        <v>6</v>
      </c>
      <c r="F15" s="31" t="s">
        <v>49</v>
      </c>
      <c r="G15" s="31">
        <v>6</v>
      </c>
      <c r="H15" s="31">
        <v>8</v>
      </c>
      <c r="I15" s="31" t="s">
        <v>49</v>
      </c>
      <c r="J15" s="31">
        <v>6</v>
      </c>
      <c r="K15" s="31" t="s">
        <v>49</v>
      </c>
      <c r="L15" s="31">
        <v>7</v>
      </c>
      <c r="M15" s="31" t="s">
        <v>49</v>
      </c>
      <c r="N15" s="31">
        <v>6</v>
      </c>
      <c r="O15" s="31" t="s">
        <v>49</v>
      </c>
      <c r="P15" s="31" t="s">
        <v>49</v>
      </c>
      <c r="Q15" s="31" t="s">
        <v>49</v>
      </c>
      <c r="R15" s="18">
        <f t="shared" si="0"/>
        <v>0</v>
      </c>
      <c r="S15" s="14" t="str">
        <f t="shared" si="1"/>
        <v>X</v>
      </c>
      <c r="T15" s="19">
        <f t="shared" si="2"/>
        <v>7</v>
      </c>
      <c r="U15" s="20">
        <f t="shared" si="3"/>
        <v>6.25</v>
      </c>
      <c r="W15" s="34" t="s">
        <v>30</v>
      </c>
      <c r="X15" s="34"/>
      <c r="Y15" s="34"/>
    </row>
    <row r="16" spans="1:25" ht="15.6" x14ac:dyDescent="0.3">
      <c r="A16" s="23">
        <v>15</v>
      </c>
      <c r="B16" s="31" t="s">
        <v>63</v>
      </c>
      <c r="C16" s="31">
        <v>6</v>
      </c>
      <c r="D16" s="31">
        <v>5</v>
      </c>
      <c r="E16" s="31">
        <v>6</v>
      </c>
      <c r="F16" s="31">
        <v>5</v>
      </c>
      <c r="G16" s="31">
        <v>5</v>
      </c>
      <c r="H16" s="31">
        <v>8</v>
      </c>
      <c r="I16" s="31" t="s">
        <v>49</v>
      </c>
      <c r="J16" s="31">
        <v>7</v>
      </c>
      <c r="K16" s="31" t="s">
        <v>49</v>
      </c>
      <c r="L16" s="31">
        <v>6</v>
      </c>
      <c r="M16" s="31" t="s">
        <v>49</v>
      </c>
      <c r="N16" s="31" t="s">
        <v>49</v>
      </c>
      <c r="O16" s="31" t="s">
        <v>49</v>
      </c>
      <c r="P16" s="31">
        <v>6</v>
      </c>
      <c r="Q16" s="31" t="s">
        <v>49</v>
      </c>
      <c r="R16" s="13">
        <f t="shared" si="0"/>
        <v>0</v>
      </c>
      <c r="S16" s="14" t="str">
        <f t="shared" si="1"/>
        <v/>
      </c>
      <c r="T16" s="14">
        <f t="shared" si="2"/>
        <v>6</v>
      </c>
      <c r="U16" s="15">
        <f t="shared" si="3"/>
        <v>6</v>
      </c>
    </row>
    <row r="17" spans="1:21" ht="15.6" x14ac:dyDescent="0.3">
      <c r="A17" s="17">
        <v>16</v>
      </c>
      <c r="B17" s="31" t="s">
        <v>64</v>
      </c>
      <c r="C17" s="31">
        <v>5</v>
      </c>
      <c r="D17" s="31">
        <v>6</v>
      </c>
      <c r="E17" s="31">
        <v>6</v>
      </c>
      <c r="F17" s="31">
        <v>6</v>
      </c>
      <c r="G17" s="31">
        <v>6</v>
      </c>
      <c r="H17" s="31">
        <v>7</v>
      </c>
      <c r="I17" s="31" t="s">
        <v>49</v>
      </c>
      <c r="J17" s="31">
        <v>7</v>
      </c>
      <c r="K17" s="31" t="s">
        <v>49</v>
      </c>
      <c r="L17" s="31">
        <v>6</v>
      </c>
      <c r="M17" s="31">
        <v>7</v>
      </c>
      <c r="N17" s="31" t="s">
        <v>49</v>
      </c>
      <c r="O17" s="31">
        <v>5</v>
      </c>
      <c r="P17" s="31" t="s">
        <v>49</v>
      </c>
      <c r="Q17" s="31" t="s">
        <v>49</v>
      </c>
      <c r="R17" s="18">
        <f t="shared" si="0"/>
        <v>0</v>
      </c>
      <c r="S17" s="14" t="str">
        <f t="shared" si="1"/>
        <v/>
      </c>
      <c r="T17" s="19">
        <f t="shared" si="2"/>
        <v>5</v>
      </c>
      <c r="U17" s="20">
        <f t="shared" si="3"/>
        <v>6.1</v>
      </c>
    </row>
    <row r="18" spans="1:21" ht="15.6" x14ac:dyDescent="0.3">
      <c r="A18" s="23">
        <v>17</v>
      </c>
      <c r="B18" s="31" t="s">
        <v>65</v>
      </c>
      <c r="C18" s="31" t="s">
        <v>49</v>
      </c>
      <c r="D18" s="31">
        <v>3</v>
      </c>
      <c r="E18" s="31">
        <v>4</v>
      </c>
      <c r="F18" s="31">
        <v>5</v>
      </c>
      <c r="G18" s="31">
        <v>3</v>
      </c>
      <c r="H18" s="31">
        <v>9</v>
      </c>
      <c r="I18" s="31">
        <v>7</v>
      </c>
      <c r="J18" s="31">
        <v>7</v>
      </c>
      <c r="K18" s="31" t="s">
        <v>49</v>
      </c>
      <c r="L18" s="31">
        <v>7</v>
      </c>
      <c r="M18" s="31" t="s">
        <v>49</v>
      </c>
      <c r="N18" s="31" t="s">
        <v>49</v>
      </c>
      <c r="O18" s="31" t="s">
        <v>49</v>
      </c>
      <c r="P18" s="31" t="s">
        <v>49</v>
      </c>
      <c r="Q18" s="31">
        <v>5</v>
      </c>
      <c r="R18" s="13">
        <f t="shared" si="0"/>
        <v>3</v>
      </c>
      <c r="S18" s="14" t="str">
        <f t="shared" si="1"/>
        <v/>
      </c>
      <c r="T18" s="14">
        <f t="shared" si="2"/>
        <v>6</v>
      </c>
      <c r="U18" s="15">
        <f t="shared" si="3"/>
        <v>5.5555555555555554</v>
      </c>
    </row>
    <row r="19" spans="1:21" ht="15.6" x14ac:dyDescent="0.3">
      <c r="A19" s="17">
        <v>18</v>
      </c>
      <c r="B19" s="31" t="s">
        <v>66</v>
      </c>
      <c r="C19" s="31">
        <v>8</v>
      </c>
      <c r="D19" s="31">
        <v>6</v>
      </c>
      <c r="E19" s="31">
        <v>8</v>
      </c>
      <c r="F19" s="31" t="s">
        <v>49</v>
      </c>
      <c r="G19" s="31">
        <v>7</v>
      </c>
      <c r="H19" s="31">
        <v>9</v>
      </c>
      <c r="I19" s="31">
        <v>9</v>
      </c>
      <c r="J19" s="31">
        <v>9</v>
      </c>
      <c r="K19" s="31" t="s">
        <v>49</v>
      </c>
      <c r="L19" s="31">
        <v>8</v>
      </c>
      <c r="M19" s="31" t="s">
        <v>49</v>
      </c>
      <c r="N19" s="31">
        <v>9</v>
      </c>
      <c r="O19" s="31" t="s">
        <v>49</v>
      </c>
      <c r="P19" s="31" t="s">
        <v>49</v>
      </c>
      <c r="Q19" s="31" t="s">
        <v>49</v>
      </c>
      <c r="R19" s="18">
        <f t="shared" si="0"/>
        <v>0</v>
      </c>
      <c r="S19" s="14" t="str">
        <f t="shared" si="1"/>
        <v/>
      </c>
      <c r="T19" s="19">
        <f t="shared" si="2"/>
        <v>6</v>
      </c>
      <c r="U19" s="20">
        <f t="shared" si="3"/>
        <v>8.1111111111111107</v>
      </c>
    </row>
    <row r="20" spans="1:21" ht="15.6" x14ac:dyDescent="0.3">
      <c r="A20" s="23">
        <v>19</v>
      </c>
      <c r="B20" s="31" t="s">
        <v>67</v>
      </c>
      <c r="C20" s="31">
        <v>5</v>
      </c>
      <c r="D20" s="31">
        <v>4</v>
      </c>
      <c r="E20" s="31">
        <v>5</v>
      </c>
      <c r="F20" s="31">
        <v>8</v>
      </c>
      <c r="G20" s="31">
        <v>6</v>
      </c>
      <c r="H20" s="31">
        <v>9</v>
      </c>
      <c r="I20" s="31" t="s">
        <v>49</v>
      </c>
      <c r="J20" s="31">
        <v>4</v>
      </c>
      <c r="K20" s="31" t="s">
        <v>49</v>
      </c>
      <c r="L20" s="31">
        <v>5</v>
      </c>
      <c r="M20" s="31" t="s">
        <v>49</v>
      </c>
      <c r="N20" s="31" t="s">
        <v>49</v>
      </c>
      <c r="O20" s="31" t="s">
        <v>49</v>
      </c>
      <c r="P20" s="31" t="s">
        <v>49</v>
      </c>
      <c r="Q20" s="31">
        <v>7</v>
      </c>
      <c r="R20" s="13">
        <f t="shared" si="0"/>
        <v>2</v>
      </c>
      <c r="S20" s="14" t="str">
        <f t="shared" si="1"/>
        <v/>
      </c>
      <c r="T20" s="14">
        <f t="shared" si="2"/>
        <v>6</v>
      </c>
      <c r="U20" s="15">
        <f t="shared" si="3"/>
        <v>5.8888888888888893</v>
      </c>
    </row>
    <row r="21" spans="1:21" ht="15.6" x14ac:dyDescent="0.3">
      <c r="A21" s="17">
        <v>20</v>
      </c>
      <c r="B21" s="31" t="s">
        <v>68</v>
      </c>
      <c r="C21" s="31">
        <v>6</v>
      </c>
      <c r="D21" s="31">
        <v>6</v>
      </c>
      <c r="E21" s="31">
        <v>7</v>
      </c>
      <c r="F21" s="31" t="s">
        <v>49</v>
      </c>
      <c r="G21" s="31">
        <v>7</v>
      </c>
      <c r="H21" s="31">
        <v>9</v>
      </c>
      <c r="I21" s="31">
        <v>10</v>
      </c>
      <c r="J21" s="31">
        <v>8</v>
      </c>
      <c r="K21" s="31" t="s">
        <v>49</v>
      </c>
      <c r="L21" s="31">
        <v>7</v>
      </c>
      <c r="M21" s="31" t="s">
        <v>49</v>
      </c>
      <c r="N21" s="31" t="s">
        <v>49</v>
      </c>
      <c r="O21" s="31" t="s">
        <v>49</v>
      </c>
      <c r="P21" s="31" t="s">
        <v>49</v>
      </c>
      <c r="Q21" s="31">
        <v>9</v>
      </c>
      <c r="R21" s="18">
        <f t="shared" si="0"/>
        <v>0</v>
      </c>
      <c r="S21" s="14" t="str">
        <f t="shared" si="1"/>
        <v/>
      </c>
      <c r="T21" s="19">
        <f t="shared" si="2"/>
        <v>6</v>
      </c>
      <c r="U21" s="20">
        <f t="shared" si="3"/>
        <v>7.666666666666667</v>
      </c>
    </row>
    <row r="22" spans="1:21" ht="15.6" x14ac:dyDescent="0.3">
      <c r="A22" s="23">
        <v>21</v>
      </c>
      <c r="B22" s="31" t="s">
        <v>69</v>
      </c>
      <c r="C22" s="31">
        <v>8</v>
      </c>
      <c r="D22" s="31">
        <v>7</v>
      </c>
      <c r="E22" s="31">
        <v>8</v>
      </c>
      <c r="F22" s="31" t="s">
        <v>49</v>
      </c>
      <c r="G22" s="31">
        <v>7</v>
      </c>
      <c r="H22" s="31">
        <v>9</v>
      </c>
      <c r="I22" s="31" t="s">
        <v>49</v>
      </c>
      <c r="J22" s="31">
        <v>9</v>
      </c>
      <c r="K22" s="31" t="s">
        <v>49</v>
      </c>
      <c r="L22" s="31">
        <v>9</v>
      </c>
      <c r="M22" s="31" t="s">
        <v>49</v>
      </c>
      <c r="N22" s="31">
        <v>10</v>
      </c>
      <c r="O22" s="31" t="s">
        <v>49</v>
      </c>
      <c r="P22" s="31" t="s">
        <v>49</v>
      </c>
      <c r="Q22" s="31" t="s">
        <v>49</v>
      </c>
      <c r="R22" s="13">
        <f t="shared" si="0"/>
        <v>0</v>
      </c>
      <c r="S22" s="14" t="str">
        <f t="shared" si="1"/>
        <v>X</v>
      </c>
      <c r="T22" s="14">
        <f t="shared" si="2"/>
        <v>7</v>
      </c>
      <c r="U22" s="15">
        <f t="shared" si="3"/>
        <v>8.375</v>
      </c>
    </row>
    <row r="23" spans="1:21" ht="15.6" x14ac:dyDescent="0.3">
      <c r="A23" s="17">
        <v>22</v>
      </c>
      <c r="B23" s="31" t="s">
        <v>70</v>
      </c>
      <c r="C23" s="31">
        <v>8</v>
      </c>
      <c r="D23" s="31">
        <v>7</v>
      </c>
      <c r="E23" s="31">
        <v>7</v>
      </c>
      <c r="F23" s="31">
        <v>8</v>
      </c>
      <c r="G23" s="31">
        <v>7</v>
      </c>
      <c r="H23" s="31">
        <v>9</v>
      </c>
      <c r="I23" s="31">
        <v>9</v>
      </c>
      <c r="J23" s="31">
        <v>9</v>
      </c>
      <c r="K23" s="31" t="s">
        <v>49</v>
      </c>
      <c r="L23" s="31">
        <v>9</v>
      </c>
      <c r="M23" s="31" t="s">
        <v>49</v>
      </c>
      <c r="N23" s="31" t="s">
        <v>49</v>
      </c>
      <c r="O23" s="31" t="s">
        <v>49</v>
      </c>
      <c r="P23" s="31" t="s">
        <v>49</v>
      </c>
      <c r="Q23" s="31">
        <v>9</v>
      </c>
      <c r="R23" s="18">
        <f t="shared" si="0"/>
        <v>0</v>
      </c>
      <c r="S23" s="14" t="str">
        <f t="shared" si="1"/>
        <v/>
      </c>
      <c r="T23" s="19">
        <f t="shared" si="2"/>
        <v>5</v>
      </c>
      <c r="U23" s="20">
        <f t="shared" si="3"/>
        <v>8.1999999999999993</v>
      </c>
    </row>
    <row r="24" spans="1:21" ht="15.6" x14ac:dyDescent="0.3">
      <c r="A24" s="23">
        <v>23</v>
      </c>
      <c r="B24" s="31" t="s">
        <v>71</v>
      </c>
      <c r="C24" s="31">
        <v>6</v>
      </c>
      <c r="D24" s="31">
        <v>5</v>
      </c>
      <c r="E24" s="31">
        <v>5</v>
      </c>
      <c r="F24" s="31">
        <v>6</v>
      </c>
      <c r="G24" s="31">
        <v>3</v>
      </c>
      <c r="H24" s="31">
        <v>7</v>
      </c>
      <c r="I24" s="31" t="s">
        <v>49</v>
      </c>
      <c r="J24" s="31">
        <v>4</v>
      </c>
      <c r="K24" s="31" t="s">
        <v>49</v>
      </c>
      <c r="L24" s="31">
        <v>4</v>
      </c>
      <c r="M24" s="31" t="s">
        <v>49</v>
      </c>
      <c r="N24" s="31" t="s">
        <v>49</v>
      </c>
      <c r="O24" s="31">
        <v>5</v>
      </c>
      <c r="P24" s="31" t="s">
        <v>49</v>
      </c>
      <c r="Q24" s="31" t="s">
        <v>49</v>
      </c>
      <c r="R24" s="13">
        <f t="shared" si="0"/>
        <v>3</v>
      </c>
      <c r="S24" s="14" t="str">
        <f t="shared" si="1"/>
        <v/>
      </c>
      <c r="T24" s="14">
        <f t="shared" si="2"/>
        <v>6</v>
      </c>
      <c r="U24" s="15">
        <f t="shared" si="3"/>
        <v>5</v>
      </c>
    </row>
    <row r="25" spans="1:21" ht="15.6" x14ac:dyDescent="0.3">
      <c r="A25" s="17">
        <v>24</v>
      </c>
      <c r="B25" s="31" t="s">
        <v>72</v>
      </c>
      <c r="C25" s="31">
        <v>7</v>
      </c>
      <c r="D25" s="31">
        <v>6</v>
      </c>
      <c r="E25" s="31">
        <v>6</v>
      </c>
      <c r="F25" s="31">
        <v>9</v>
      </c>
      <c r="G25" s="31">
        <v>5</v>
      </c>
      <c r="H25" s="31">
        <v>8</v>
      </c>
      <c r="I25" s="31" t="s">
        <v>49</v>
      </c>
      <c r="J25" s="31">
        <v>8</v>
      </c>
      <c r="K25" s="31" t="s">
        <v>49</v>
      </c>
      <c r="L25" s="31">
        <v>7</v>
      </c>
      <c r="M25" s="31" t="s">
        <v>49</v>
      </c>
      <c r="N25" s="31" t="s">
        <v>49</v>
      </c>
      <c r="O25" s="31">
        <v>7</v>
      </c>
      <c r="P25" s="31" t="s">
        <v>49</v>
      </c>
      <c r="Q25" s="31" t="s">
        <v>49</v>
      </c>
      <c r="R25" s="18">
        <f t="shared" si="0"/>
        <v>0</v>
      </c>
      <c r="S25" s="14" t="str">
        <f t="shared" si="1"/>
        <v/>
      </c>
      <c r="T25" s="19">
        <f t="shared" si="2"/>
        <v>6</v>
      </c>
      <c r="U25" s="20">
        <f t="shared" si="3"/>
        <v>7</v>
      </c>
    </row>
    <row r="26" spans="1:21" ht="15.6" x14ac:dyDescent="0.3">
      <c r="A26" s="23">
        <v>25</v>
      </c>
      <c r="B26" s="31" t="s">
        <v>73</v>
      </c>
      <c r="C26" s="31">
        <v>9</v>
      </c>
      <c r="D26" s="31">
        <v>8</v>
      </c>
      <c r="E26" s="31">
        <v>8</v>
      </c>
      <c r="F26" s="31" t="s">
        <v>49</v>
      </c>
      <c r="G26" s="31">
        <v>9</v>
      </c>
      <c r="H26" s="31">
        <v>9</v>
      </c>
      <c r="I26" s="31" t="s">
        <v>49</v>
      </c>
      <c r="J26" s="31">
        <v>8</v>
      </c>
      <c r="K26" s="31" t="s">
        <v>49</v>
      </c>
      <c r="L26" s="31">
        <v>9</v>
      </c>
      <c r="M26" s="31" t="s">
        <v>49</v>
      </c>
      <c r="N26" s="31">
        <v>10</v>
      </c>
      <c r="O26" s="31" t="s">
        <v>49</v>
      </c>
      <c r="P26" s="31" t="s">
        <v>49</v>
      </c>
      <c r="Q26" s="31" t="s">
        <v>49</v>
      </c>
      <c r="R26" s="13">
        <f t="shared" si="0"/>
        <v>0</v>
      </c>
      <c r="S26" s="14" t="str">
        <f t="shared" si="1"/>
        <v>X</v>
      </c>
      <c r="T26" s="14">
        <f t="shared" si="2"/>
        <v>7</v>
      </c>
      <c r="U26" s="15">
        <f t="shared" si="3"/>
        <v>8.75</v>
      </c>
    </row>
    <row r="27" spans="1:21" ht="15.6" x14ac:dyDescent="0.3">
      <c r="B27" s="16" t="s">
        <v>28</v>
      </c>
      <c r="C27" s="26">
        <f t="shared" ref="C27:Q27" si="4">COUNTIF(C2:C26,"&lt;5")</f>
        <v>2</v>
      </c>
      <c r="D27" s="26">
        <f t="shared" si="4"/>
        <v>6</v>
      </c>
      <c r="E27" s="26">
        <f t="shared" si="4"/>
        <v>4</v>
      </c>
      <c r="F27" s="26">
        <f t="shared" si="4"/>
        <v>2</v>
      </c>
      <c r="G27" s="26">
        <f t="shared" si="4"/>
        <v>7</v>
      </c>
      <c r="H27" s="26">
        <f t="shared" si="4"/>
        <v>0</v>
      </c>
      <c r="I27" s="26">
        <f t="shared" si="4"/>
        <v>0</v>
      </c>
      <c r="J27" s="26">
        <f t="shared" si="4"/>
        <v>5</v>
      </c>
      <c r="K27" s="26">
        <f t="shared" si="4"/>
        <v>0</v>
      </c>
      <c r="L27" s="26">
        <f t="shared" si="4"/>
        <v>3</v>
      </c>
      <c r="M27" s="26">
        <f t="shared" si="4"/>
        <v>0</v>
      </c>
      <c r="N27" s="26">
        <f t="shared" si="4"/>
        <v>0</v>
      </c>
      <c r="O27" s="26">
        <f t="shared" si="4"/>
        <v>0</v>
      </c>
      <c r="P27" s="26">
        <f t="shared" si="4"/>
        <v>0</v>
      </c>
      <c r="Q27" s="26">
        <f t="shared" si="4"/>
        <v>0</v>
      </c>
      <c r="R27" s="27">
        <f>AVERAGE(R2:R26)</f>
        <v>1.1599999999999999</v>
      </c>
      <c r="S27" s="14" t="str">
        <f>IF(T27&lt;$T$27,"X","")</f>
        <v/>
      </c>
      <c r="T27" s="28">
        <f>MODE(T2:T26)</f>
        <v>6</v>
      </c>
      <c r="U27" s="15">
        <f>(SUM(C2:Q26)+(COUNTIF(C2:Q26,"10-M")*10))/(COUNTIF(C2:Q26,"10-M")+COUNT(C2:Q26)+COUNTIF(C2:Q26,"NP")+COUNTIF(C2:Q26,"NE"))</f>
        <v>6.6036036036036032</v>
      </c>
    </row>
    <row r="28" spans="1:21" ht="15.6" x14ac:dyDescent="0.3">
      <c r="B28" s="16" t="s">
        <v>29</v>
      </c>
      <c r="C28" s="29">
        <f t="shared" ref="C28:Q28" si="5">IF((COUNT(C2:C26)+COUNTIF(C2:C26,"10-M"))=0,"--",C27/(COUNT(C2:C26)+COUNTIF(C2:C26,"10-M")))</f>
        <v>8.6956521739130432E-2</v>
      </c>
      <c r="D28" s="29">
        <f t="shared" si="5"/>
        <v>0.24</v>
      </c>
      <c r="E28" s="29">
        <f t="shared" si="5"/>
        <v>0.16</v>
      </c>
      <c r="F28" s="29">
        <f t="shared" si="5"/>
        <v>0.11764705882352941</v>
      </c>
      <c r="G28" s="29">
        <f t="shared" si="5"/>
        <v>0.28000000000000003</v>
      </c>
      <c r="H28" s="29">
        <f t="shared" si="5"/>
        <v>0</v>
      </c>
      <c r="I28" s="29">
        <f t="shared" si="5"/>
        <v>0</v>
      </c>
      <c r="J28" s="29">
        <f t="shared" si="5"/>
        <v>0.2</v>
      </c>
      <c r="K28" s="29" t="str">
        <f t="shared" si="5"/>
        <v>--</v>
      </c>
      <c r="L28" s="29">
        <f t="shared" si="5"/>
        <v>0.12</v>
      </c>
      <c r="M28" s="29">
        <f t="shared" si="5"/>
        <v>0</v>
      </c>
      <c r="N28" s="29">
        <f t="shared" si="5"/>
        <v>0</v>
      </c>
      <c r="O28" s="29">
        <f t="shared" si="5"/>
        <v>0</v>
      </c>
      <c r="P28" s="29">
        <f t="shared" si="5"/>
        <v>0</v>
      </c>
      <c r="Q28" s="29">
        <f t="shared" si="5"/>
        <v>0</v>
      </c>
      <c r="S28" s="30"/>
      <c r="T28" s="30"/>
    </row>
  </sheetData>
  <mergeCells count="3">
    <mergeCell ref="W9:Y11"/>
    <mergeCell ref="W12:Y14"/>
    <mergeCell ref="W15:Y15"/>
  </mergeCells>
  <conditionalFormatting sqref="C2:Q26">
    <cfRule type="cellIs" dxfId="5" priority="2" operator="lessThan">
      <formula>5</formula>
    </cfRule>
    <cfRule type="expression" dxfId="4" priority="4">
      <formula>LEN(TRIM(C2))=0</formula>
    </cfRule>
  </conditionalFormatting>
  <conditionalFormatting sqref="S2:S27">
    <cfRule type="cellIs" dxfId="3" priority="5" operator="equal">
      <formula>"X"</formula>
    </cfRule>
  </conditionalFormatting>
  <conditionalFormatting sqref="U2:U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2026-06-13T09:27:57Z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